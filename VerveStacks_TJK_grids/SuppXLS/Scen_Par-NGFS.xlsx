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4DB683E5-8771-43AE-982B-7ACBEF4AFC1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<sst xmlns="http://schemas.openxmlformats.org/spreadsheetml/2006/main" count="58717" uniqueCount="92">
  <si>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</si>
  <si>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</si>
  <si>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</si>
  <si>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</si>
  <si>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</si>
  <si>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</si>
  <si>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</si>
  <si>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</si>
  <si>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</si>
  <si>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</si>
  <si>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</si>
  <si>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</si>
  <si>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</si>
  <si>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</si>
  <si>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</si>
  <si>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</si>
  <si>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</si>
  <si>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</si>
  <si>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</si>
  <si>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</si>
  <si>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</si>
  <si>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</si>
  <si>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</si>
  <si>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</si>
  <si>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</si>
  <si>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</si>
  <si>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</si>
  <si>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</si>
  <si>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</si>
  <si>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</si>
  <si>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</si>
  <si>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</si>
  <si>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</si>
  <si>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</si>
  <si>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</si>
  <si>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</si>
  <si>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</si>
  <si>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</si>
  <si>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</si>
  <si>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</si>
  <si>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</si>
  <si>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</si>
  <si>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</si>
  <si>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</si>
  <si>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</si>
  <si>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</si>
  <si>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</si>
  <si>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</si>
  <si>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</si>
  <si>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</si>
  <si>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</si>
  <si>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</si>
  <si>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</si>
  <si>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</si>
  <si>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</si>
  <si>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</si>
  <si>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</si>
  <si>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</si>
  <si>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</si>
  <si>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</si>
  <si>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</si>
  <si>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</si>
  <si>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</si>
  <si>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</si>
  <si>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</si>
  <si>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</si>
  <si>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</si>
  <si>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</si>
  <si>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</si>
  <si>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</si>
  <si>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</si>
  <si>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</si>
  <si>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</si>
  <si>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</si>
  <si>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</si>
  <si>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</si>
  <si>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</si>
  <si>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</si>
  <si>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</si>
  <si>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</si>
  <si>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</si>
  <si>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</si>
  <si>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</si>
  <si>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</si>
  <si>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TJK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</si>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</sst>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27.479999999999997</c:v>
                </c:pt>
                <c:pt idx="1">
                  <c:v>26.203715529753261</c:v>
                </c:pt>
                <c:pt idx="2">
                  <c:v>27.280580551523947</c:v>
                </c:pt>
                <c:pt idx="3">
                  <c:v>33.741770682148037</c:v>
                </c:pt>
                <c:pt idx="4">
                  <c:v>42.675761973875183</c:v>
                </c:pt>
                <c:pt idx="5">
                  <c:v>54.122438316400583</c:v>
                </c:pt>
                <c:pt idx="6">
                  <c:v>68.36098693759071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2.21</c:v>
                </c:pt>
                <c:pt idx="1">
                  <c:v>1.8616256157635467</c:v>
                </c:pt>
                <c:pt idx="2">
                  <c:v>1.9363479623824453</c:v>
                </c:pt>
                <c:pt idx="3">
                  <c:v>2.0199776085982979</c:v>
                </c:pt>
                <c:pt idx="4">
                  <c:v>2.1649686520376177</c:v>
                </c:pt>
                <c:pt idx="5">
                  <c:v>2.4143730407523512</c:v>
                </c:pt>
                <c:pt idx="6">
                  <c:v>3.8296439767129415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27.48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27.479999999999997</v>
      </c>
      <c r="S12" s="8">
        <f t="shared" ref="S12:X12" si="0">SUM(S17:S20)</f>
        <v>26.203715529753261</v>
      </c>
      <c r="T12" s="8">
        <f t="shared" si="0"/>
        <v>27.280580551523947</v>
      </c>
      <c r="U12" s="8">
        <f t="shared" si="0"/>
        <v>33.741770682148037</v>
      </c>
      <c r="V12" s="8">
        <f t="shared" si="0"/>
        <v>42.675761973875183</v>
      </c>
      <c r="W12" s="8">
        <f t="shared" si="0"/>
        <v>54.122438316400583</v>
      </c>
      <c r="X12" s="8">
        <f t="shared" si="0"/>
        <v>68.36098693759071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2.9999999999999997E-4</v>
      </c>
      <c r="H16" s="10">
        <f>SUMIFS(ngfs_median!$J$2:$J$17119,ngfs_median!$B$2:$B$17119,Veda!$C$5,ngfs_median!$H$2:$H$17119,Veda!$Q16,ngfs_median!$I$2:$I$17119,Veda!H$15)</f>
        <v>1.4E-3</v>
      </c>
      <c r="I16" s="10">
        <f>SUMIFS(ngfs_median!$J$2:$J$17119,ngfs_median!$B$2:$B$17119,Veda!$C$5,ngfs_median!$H$2:$H$17119,Veda!$Q16,ngfs_median!$I$2:$I$17119,Veda!I$15)</f>
        <v>3.5000000000000001E-3</v>
      </c>
      <c r="J16" s="10">
        <f>SUMIFS(ngfs_median!$J$2:$J$17119,ngfs_median!$B$2:$B$17119,Veda!$C$5,ngfs_median!$H$2:$H$17119,Veda!$Q16,ngfs_median!$I$2:$I$17119,Veda!J$15)</f>
        <v>6.3499999999999997E-3</v>
      </c>
      <c r="K16" s="10">
        <f>SUMIFS(ngfs_median!$J$2:$J$17119,ngfs_median!$B$2:$B$17119,Veda!$C$5,ngfs_median!$H$2:$H$17119,Veda!$Q16,ngfs_median!$I$2:$I$17119,Veda!K$15)</f>
        <v>9.7000000000000003E-3</v>
      </c>
      <c r="L16" s="10">
        <f>SUMIFS(ngfs_median!$J$2:$J$17119,ngfs_median!$B$2:$B$17119,Veda!$C$5,ngfs_median!$H$2:$H$17119,Veda!$Q16,ngfs_median!$I$2:$I$17119,Veda!L$15)</f>
        <v>1.3100000000000001E-2</v>
      </c>
      <c r="M16" s="10">
        <f>SUMIFS(ngfs_median!$J$2:$J$17119,ngfs_median!$B$2:$B$17119,Veda!$C$5,ngfs_median!$H$2:$H$17119,Veda!$Q16,ngfs_median!$I$2:$I$17119,Veda!M$15)</f>
        <v>1.635E-2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0.58333333333333337</v>
      </c>
      <c r="U16" s="6">
        <f t="shared" si="2"/>
        <v>1.3749999999999998</v>
      </c>
      <c r="V16" s="6">
        <f t="shared" si="2"/>
        <v>2.3055555555555554</v>
      </c>
      <c r="W16" s="6">
        <f t="shared" si="2"/>
        <v>3.25</v>
      </c>
      <c r="X16" s="6">
        <f t="shared" si="2"/>
        <v>4.1527777777777777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5.4999999999999992E-4</v>
      </c>
      <c r="H17" s="10">
        <f>SUMIFS(ngfs_median!$J$2:$J$17119,ngfs_median!$B$2:$B$17119,Veda!$C$5,ngfs_median!$H$2:$H$17119,Veda!$Q17,ngfs_median!$I$2:$I$17119,Veda!H$15)</f>
        <v>8.9999999999999998E-4</v>
      </c>
      <c r="I17" s="10">
        <f>SUMIFS(ngfs_median!$J$2:$J$17119,ngfs_median!$B$2:$B$17119,Veda!$C$5,ngfs_median!$H$2:$H$17119,Veda!$Q17,ngfs_median!$I$2:$I$17119,Veda!I$15)</f>
        <v>1.6000000000000001E-3</v>
      </c>
      <c r="J17" s="10">
        <f>SUMIFS(ngfs_median!$J$2:$J$17119,ngfs_median!$B$2:$B$17119,Veda!$C$5,ngfs_median!$H$2:$H$17119,Veda!$Q17,ngfs_median!$I$2:$I$17119,Veda!J$15)</f>
        <v>2.65E-3</v>
      </c>
      <c r="K17" s="10">
        <f>SUMIFS(ngfs_median!$J$2:$J$17119,ngfs_median!$B$2:$B$17119,Veda!$C$5,ngfs_median!$H$2:$H$17119,Veda!$Q17,ngfs_median!$I$2:$I$17119,Veda!K$15)</f>
        <v>3.5999999999999999E-3</v>
      </c>
      <c r="L17" s="10">
        <f>SUMIFS(ngfs_median!$J$2:$J$17119,ngfs_median!$B$2:$B$17119,Veda!$C$5,ngfs_median!$H$2:$H$17119,Veda!$Q17,ngfs_median!$I$2:$I$17119,Veda!L$15)</f>
        <v>4.5500000000000002E-3</v>
      </c>
      <c r="M17" s="10">
        <f>SUMIFS(ngfs_median!$J$2:$J$17119,ngfs_median!$B$2:$B$17119,Veda!$C$5,ngfs_median!$H$2:$H$17119,Veda!$Q17,ngfs_median!$I$2:$I$17119,Veda!M$15)</f>
        <v>6.0000000000000001E-3</v>
      </c>
      <c r="Q17" s="12" t="s">
        <v>10</v>
      </c>
      <c r="R17" s="6">
        <f>$Q$10*G17/SUM($G$17:$G$19)</f>
        <v>0.4387227866473149</v>
      </c>
      <c r="S17" s="6">
        <f>R17</f>
        <v>0.4387227866473149</v>
      </c>
      <c r="T17" s="6">
        <f t="shared" ref="T17:X17" si="3">S17</f>
        <v>0.4387227866473149</v>
      </c>
      <c r="U17" s="6">
        <f t="shared" si="3"/>
        <v>0.4387227866473149</v>
      </c>
      <c r="V17" s="6">
        <f t="shared" si="3"/>
        <v>0.4387227866473149</v>
      </c>
      <c r="W17" s="6">
        <f t="shared" si="3"/>
        <v>0.4387227866473149</v>
      </c>
      <c r="X17" s="6">
        <f t="shared" si="3"/>
        <v>0.4387227866473149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1.455E-2</v>
      </c>
      <c r="H18" s="10">
        <f>SUMIFS(ngfs_median!$J$2:$J$17119,ngfs_median!$B$2:$B$17119,Veda!$C$5,ngfs_median!$H$2:$H$17119,Veda!$Q18,ngfs_median!$I$2:$I$17119,Veda!H$15)</f>
        <v>1.465E-2</v>
      </c>
      <c r="I18" s="10">
        <f>SUMIFS(ngfs_median!$J$2:$J$17119,ngfs_median!$B$2:$B$17119,Veda!$C$5,ngfs_median!$H$2:$H$17119,Veda!$Q18,ngfs_median!$I$2:$I$17119,Veda!I$15)</f>
        <v>1.525E-2</v>
      </c>
      <c r="J18" s="10">
        <f>SUMIFS(ngfs_median!$J$2:$J$17119,ngfs_median!$B$2:$B$17119,Veda!$C$5,ngfs_median!$H$2:$H$17119,Veda!$Q18,ngfs_median!$I$2:$I$17119,Veda!J$15)</f>
        <v>1.7500000000000002E-2</v>
      </c>
      <c r="K18" s="10">
        <f>SUMIFS(ngfs_median!$J$2:$J$17119,ngfs_median!$B$2:$B$17119,Veda!$C$5,ngfs_median!$H$2:$H$17119,Veda!$Q18,ngfs_median!$I$2:$I$17119,Veda!K$15)</f>
        <v>2.035E-2</v>
      </c>
      <c r="L18" s="10">
        <f>SUMIFS(ngfs_median!$J$2:$J$17119,ngfs_median!$B$2:$B$17119,Veda!$C$5,ngfs_median!$H$2:$H$17119,Veda!$Q18,ngfs_median!$I$2:$I$17119,Veda!L$15)</f>
        <v>2.46E-2</v>
      </c>
      <c r="M18" s="10">
        <f>SUMIFS(ngfs_median!$J$2:$J$17119,ngfs_median!$B$2:$B$17119,Veda!$C$5,ngfs_median!$H$2:$H$17119,Veda!$Q18,ngfs_median!$I$2:$I$17119,Veda!M$15)</f>
        <v>3.065E-2</v>
      </c>
      <c r="Q18" s="12" t="s">
        <v>12</v>
      </c>
      <c r="R18" s="6">
        <f>$Q$10*G18/SUM($G$17:$G$19)</f>
        <v>11.60621190130624</v>
      </c>
      <c r="S18" s="6">
        <f t="shared" ref="S18:X19" si="4">R18*H18/G18</f>
        <v>11.685979680696661</v>
      </c>
      <c r="T18" s="6">
        <f t="shared" si="4"/>
        <v>12.164586357039187</v>
      </c>
      <c r="U18" s="6">
        <f t="shared" si="4"/>
        <v>13.959361393323659</v>
      </c>
      <c r="V18" s="6">
        <f t="shared" si="4"/>
        <v>16.232743105950654</v>
      </c>
      <c r="W18" s="6">
        <f t="shared" si="4"/>
        <v>19.622873730043544</v>
      </c>
      <c r="X18" s="6">
        <f t="shared" si="4"/>
        <v>24.448824383164009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1.9349999999999999E-2</v>
      </c>
      <c r="H19" s="10">
        <f>SUMIFS(ngfs_median!$J$2:$J$17119,ngfs_median!$B$2:$B$17119,Veda!$C$5,ngfs_median!$H$2:$H$17119,Veda!$Q19,ngfs_median!$I$2:$I$17119,Veda!H$15)</f>
        <v>1.7299999999999999E-2</v>
      </c>
      <c r="I19" s="10">
        <f>SUMIFS(ngfs_median!$J$2:$J$17119,ngfs_median!$B$2:$B$17119,Veda!$C$5,ngfs_median!$H$2:$H$17119,Veda!$Q19,ngfs_median!$I$2:$I$17119,Veda!I$15)</f>
        <v>1.7350000000000001E-2</v>
      </c>
      <c r="J19" s="10">
        <f>SUMIFS(ngfs_median!$J$2:$J$17119,ngfs_median!$B$2:$B$17119,Veda!$C$5,ngfs_median!$H$2:$H$17119,Veda!$Q19,ngfs_median!$I$2:$I$17119,Veda!J$15)</f>
        <v>2.215E-2</v>
      </c>
      <c r="K19" s="10">
        <f>SUMIFS(ngfs_median!$J$2:$J$17119,ngfs_median!$B$2:$B$17119,Veda!$C$5,ngfs_median!$H$2:$H$17119,Veda!$Q19,ngfs_median!$I$2:$I$17119,Veda!K$15)</f>
        <v>2.955E-2</v>
      </c>
      <c r="L19" s="10">
        <f>SUMIFS(ngfs_median!$J$2:$J$17119,ngfs_median!$B$2:$B$17119,Veda!$C$5,ngfs_median!$H$2:$H$17119,Veda!$Q19,ngfs_median!$I$2:$I$17119,Veda!L$15)</f>
        <v>3.8699999999999998E-2</v>
      </c>
      <c r="M19" s="10">
        <f>SUMIFS(ngfs_median!$J$2:$J$17119,ngfs_median!$B$2:$B$17119,Veda!$C$5,ngfs_median!$H$2:$H$17119,Veda!$Q19,ngfs_median!$I$2:$I$17119,Veda!M$15)</f>
        <v>4.9049999999999996E-2</v>
      </c>
      <c r="Q19" s="12" t="s">
        <v>13</v>
      </c>
      <c r="R19" s="6">
        <f>$Q$10*G19/SUM($G$17:$G$19)</f>
        <v>15.435065312046442</v>
      </c>
      <c r="S19" s="6">
        <f t="shared" si="4"/>
        <v>13.799825834542814</v>
      </c>
      <c r="T19" s="6">
        <f t="shared" si="4"/>
        <v>13.839709724238025</v>
      </c>
      <c r="U19" s="6">
        <f t="shared" si="4"/>
        <v>17.668563134978228</v>
      </c>
      <c r="V19" s="6">
        <f t="shared" si="4"/>
        <v>23.571378809869376</v>
      </c>
      <c r="W19" s="6">
        <f t="shared" si="4"/>
        <v>30.870130624092887</v>
      </c>
      <c r="X19" s="6">
        <f t="shared" si="4"/>
        <v>39.126095791001454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0.27918722786647321</v>
      </c>
      <c r="T20" s="6">
        <f t="shared" si="5"/>
        <v>0.83756168359941952</v>
      </c>
      <c r="U20" s="6">
        <f t="shared" si="5"/>
        <v>1.6751233671988388</v>
      </c>
      <c r="V20" s="6">
        <f t="shared" si="5"/>
        <v>2.4329172714078373</v>
      </c>
      <c r="W20" s="6">
        <f t="shared" si="5"/>
        <v>3.190711175616836</v>
      </c>
      <c r="X20" s="6">
        <f t="shared" si="5"/>
        <v>4.3473439767779389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2.21</v>
      </c>
      <c r="D22" s="12" t="s">
        <v>79</v>
      </c>
      <c r="G22" s="8">
        <f>G35/$G$35*$B22</f>
        <v>2.21</v>
      </c>
      <c r="H22" s="8">
        <f t="shared" ref="H22:M22" si="6">H35/$G$35*$B22</f>
        <v>1.8616256157635467</v>
      </c>
      <c r="I22" s="8">
        <f t="shared" si="6"/>
        <v>1.9363479623824453</v>
      </c>
      <c r="J22" s="8">
        <f t="shared" si="6"/>
        <v>2.0199776085982979</v>
      </c>
      <c r="K22" s="8">
        <f t="shared" si="6"/>
        <v>2.1649686520376177</v>
      </c>
      <c r="L22" s="8">
        <f t="shared" si="6"/>
        <v>2.4143730407523512</v>
      </c>
      <c r="M22" s="8">
        <f t="shared" si="6"/>
        <v>3.8296439767129415</v>
      </c>
      <c r="Q22" t="s">
        <v>64</v>
      </c>
      <c r="T22" s="8">
        <f>I35*1000</f>
        <v>391.3</v>
      </c>
      <c r="U22" s="8">
        <f>J35*1000</f>
        <v>408.19999999999993</v>
      </c>
      <c r="V22" s="8">
        <f>K35*1000</f>
        <v>437.5</v>
      </c>
      <c r="W22" s="8">
        <f>L35*1000</f>
        <v>487.9</v>
      </c>
      <c r="X22" s="8">
        <f>M35*1000</f>
        <v>773.9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0.8</v>
      </c>
      <c r="S26" s="3">
        <f>AVERAGEIFS(historical_data_long!$D$3:$D$9999,historical_data_long!$B$3:$B$9999,"&gt;2017",historical_data_long!$A$3:$A$9999,$O26)</f>
        <v>0.65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3.3</v>
      </c>
      <c r="S27" s="3">
        <f>AVERAGEIFS(historical_data_long!$D$3:$D$9999,historical_data_long!$B$3:$B$9999,"&gt;2017",historical_data_long!$A$3:$A$9999,$O27)</f>
        <v>3.0166666666666671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0.4466</v>
      </c>
      <c r="H35" s="11">
        <f>SUMIFS(ngfs_median!$J$2:$J$17119,ngfs_median!$B$2:$B$17119,Veda!$C$5,ngfs_median!$D$2:$D$17119,Veda!$D22,ngfs_median!$I$2:$I$17119,Veda!H$15)</f>
        <v>0.37619999999999998</v>
      </c>
      <c r="I35" s="11">
        <f>SUMIFS(ngfs_median!$J$2:$J$17119,ngfs_median!$B$2:$B$17119,Veda!$C$5,ngfs_median!$D$2:$D$17119,Veda!$D22,ngfs_median!$I$2:$I$17119,Veda!I$15)</f>
        <v>0.39130000000000004</v>
      </c>
      <c r="J35" s="11">
        <f>SUMIFS(ngfs_median!$J$2:$J$17119,ngfs_median!$B$2:$B$17119,Veda!$C$5,ngfs_median!$D$2:$D$17119,Veda!$D22,ngfs_median!$I$2:$I$17119,Veda!J$15)</f>
        <v>0.40819999999999995</v>
      </c>
      <c r="K35" s="11">
        <f>SUMIFS(ngfs_median!$J$2:$J$17119,ngfs_median!$B$2:$B$17119,Veda!$C$5,ngfs_median!$D$2:$D$17119,Veda!$D22,ngfs_median!$I$2:$I$17119,Veda!K$15)</f>
        <v>0.4375</v>
      </c>
      <c r="L35" s="11">
        <f>SUMIFS(ngfs_median!$J$2:$J$17119,ngfs_median!$B$2:$B$17119,Veda!$C$5,ngfs_median!$D$2:$D$17119,Veda!$D22,ngfs_median!$I$2:$I$17119,Veda!L$15)</f>
        <v>0.4879</v>
      </c>
      <c r="M35" s="11">
        <f>SUMIFS(ngfs_median!$J$2:$J$17119,ngfs_median!$B$2:$B$17119,Veda!$C$5,ngfs_median!$D$2:$D$17119,Veda!$D22,ngfs_median!$I$2:$I$17119,Veda!M$15)</f>
        <v>0.77389999999999992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0.22</v>
      </c>
    </row>
    <row r="5" spans="1:4" x14ac:dyDescent="0.45">
      <c r="A5" t="s">
        <v>56</v>
      </c>
      <c r="B5">
        <v>2000</v>
      </c>
      <c r="C5" t="s">
        <v>74</v>
      </c>
      <c r="D5">
        <v>14.02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0.18</v>
      </c>
    </row>
    <row r="14" spans="1:4" x14ac:dyDescent="0.45">
      <c r="A14" t="s">
        <v>56</v>
      </c>
      <c r="B14">
        <v>2001</v>
      </c>
      <c r="C14" t="s">
        <v>74</v>
      </c>
      <c r="D14">
        <v>14.21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0.14000000000000001</v>
      </c>
    </row>
    <row r="23" spans="1:4" x14ac:dyDescent="0.45">
      <c r="A23" t="s">
        <v>56</v>
      </c>
      <c r="B23">
        <v>2002</v>
      </c>
      <c r="C23" t="s">
        <v>74</v>
      </c>
      <c r="D23">
        <v>15.16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0.17</v>
      </c>
    </row>
    <row r="32" spans="1:4" x14ac:dyDescent="0.45">
      <c r="A32" t="s">
        <v>56</v>
      </c>
      <c r="B32">
        <v>2003</v>
      </c>
      <c r="C32" t="s">
        <v>74</v>
      </c>
      <c r="D32">
        <v>16.34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0.15</v>
      </c>
    </row>
    <row r="41" spans="1:4" x14ac:dyDescent="0.45">
      <c r="A41" t="s">
        <v>56</v>
      </c>
      <c r="B41">
        <v>2004</v>
      </c>
      <c r="C41" t="s">
        <v>74</v>
      </c>
      <c r="D41">
        <v>16.34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0.12</v>
      </c>
    </row>
    <row r="50" spans="1:4" x14ac:dyDescent="0.45">
      <c r="A50" t="s">
        <v>56</v>
      </c>
      <c r="B50">
        <v>2005</v>
      </c>
      <c r="C50" t="s">
        <v>74</v>
      </c>
      <c r="D50">
        <v>16.97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0.23</v>
      </c>
    </row>
    <row r="59" spans="1:4" x14ac:dyDescent="0.45">
      <c r="A59" t="s">
        <v>56</v>
      </c>
      <c r="B59">
        <v>2006</v>
      </c>
      <c r="C59" t="s">
        <v>74</v>
      </c>
      <c r="D59">
        <v>16.7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0.38</v>
      </c>
    </row>
    <row r="68" spans="1:4" x14ac:dyDescent="0.45">
      <c r="A68" t="s">
        <v>56</v>
      </c>
      <c r="B68">
        <v>2007</v>
      </c>
      <c r="C68" t="s">
        <v>74</v>
      </c>
      <c r="D68">
        <v>17.11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0.35</v>
      </c>
    </row>
    <row r="77" spans="1:4" x14ac:dyDescent="0.45">
      <c r="A77" t="s">
        <v>56</v>
      </c>
      <c r="B77">
        <v>2008</v>
      </c>
      <c r="C77" t="s">
        <v>74</v>
      </c>
      <c r="D77">
        <v>15.8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0.22</v>
      </c>
    </row>
    <row r="86" spans="1:4" x14ac:dyDescent="0.45">
      <c r="A86" t="s">
        <v>56</v>
      </c>
      <c r="B86">
        <v>2009</v>
      </c>
      <c r="C86" t="s">
        <v>74</v>
      </c>
      <c r="D86">
        <v>15.9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0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0.04</v>
      </c>
    </row>
    <row r="95" spans="1:4" x14ac:dyDescent="0.45">
      <c r="A95" t="s">
        <v>56</v>
      </c>
      <c r="B95">
        <v>2010</v>
      </c>
      <c r="C95" t="s">
        <v>74</v>
      </c>
      <c r="D95">
        <v>16.399999999999999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0.04</v>
      </c>
    </row>
    <row r="104" spans="1:4" x14ac:dyDescent="0.45">
      <c r="A104" t="s">
        <v>56</v>
      </c>
      <c r="B104">
        <v>2011</v>
      </c>
      <c r="C104" t="s">
        <v>74</v>
      </c>
      <c r="D104">
        <v>16.2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7.0000000000000007E-2</v>
      </c>
    </row>
    <row r="113" spans="1:4" x14ac:dyDescent="0.45">
      <c r="A113" t="s">
        <v>56</v>
      </c>
      <c r="B113">
        <v>2012</v>
      </c>
      <c r="C113" t="s">
        <v>74</v>
      </c>
      <c r="D113">
        <v>16.899999999999999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</v>
      </c>
    </row>
    <row r="120" spans="1:4" x14ac:dyDescent="0.45">
      <c r="A120" t="s">
        <v>34</v>
      </c>
      <c r="B120">
        <v>2013</v>
      </c>
      <c r="C120" t="s">
        <v>74</v>
      </c>
      <c r="D120">
        <v>0.04</v>
      </c>
    </row>
    <row r="121" spans="1:4" x14ac:dyDescent="0.45">
      <c r="A121" t="s">
        <v>36</v>
      </c>
      <c r="B121">
        <v>2013</v>
      </c>
      <c r="C121" t="s">
        <v>74</v>
      </c>
      <c r="D121">
        <v>0</v>
      </c>
    </row>
    <row r="122" spans="1:4" x14ac:dyDescent="0.45">
      <c r="A122" t="s">
        <v>56</v>
      </c>
      <c r="B122">
        <v>2013</v>
      </c>
      <c r="C122" t="s">
        <v>74</v>
      </c>
      <c r="D122">
        <v>17.07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</v>
      </c>
    </row>
    <row r="129" spans="1:4" x14ac:dyDescent="0.45">
      <c r="A129" t="s">
        <v>34</v>
      </c>
      <c r="B129">
        <v>2014</v>
      </c>
      <c r="C129" t="s">
        <v>74</v>
      </c>
      <c r="D129">
        <v>0.16</v>
      </c>
    </row>
    <row r="130" spans="1:4" x14ac:dyDescent="0.45">
      <c r="A130" t="s">
        <v>36</v>
      </c>
      <c r="B130">
        <v>2014</v>
      </c>
      <c r="C130" t="s">
        <v>74</v>
      </c>
      <c r="D130">
        <v>0</v>
      </c>
    </row>
    <row r="131" spans="1:4" x14ac:dyDescent="0.45">
      <c r="A131" t="s">
        <v>56</v>
      </c>
      <c r="B131">
        <v>2014</v>
      </c>
      <c r="C131" t="s">
        <v>74</v>
      </c>
      <c r="D131">
        <v>16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</v>
      </c>
    </row>
    <row r="138" spans="1:4" x14ac:dyDescent="0.45">
      <c r="A138" t="s">
        <v>34</v>
      </c>
      <c r="B138">
        <v>2015</v>
      </c>
      <c r="C138" t="s">
        <v>74</v>
      </c>
      <c r="D138">
        <v>0.16</v>
      </c>
    </row>
    <row r="139" spans="1:4" x14ac:dyDescent="0.45">
      <c r="A139" t="s">
        <v>36</v>
      </c>
      <c r="B139">
        <v>2015</v>
      </c>
      <c r="C139" t="s">
        <v>74</v>
      </c>
      <c r="D139">
        <v>0</v>
      </c>
    </row>
    <row r="140" spans="1:4" x14ac:dyDescent="0.45">
      <c r="A140" t="s">
        <v>56</v>
      </c>
      <c r="B140">
        <v>2015</v>
      </c>
      <c r="C140" t="s">
        <v>74</v>
      </c>
      <c r="D140">
        <v>17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</v>
      </c>
    </row>
    <row r="145" spans="1:4" x14ac:dyDescent="0.45">
      <c r="A145" t="s">
        <v>91</v>
      </c>
      <c r="B145">
        <v>2015</v>
      </c>
      <c r="C145" t="s">
        <v>74</v>
      </c>
      <c r="D145">
        <v>0</v>
      </c>
    </row>
    <row r="146" spans="1:4" x14ac:dyDescent="0.45">
      <c r="A146" t="s">
        <v>32</v>
      </c>
      <c r="B146">
        <v>2016</v>
      </c>
      <c r="C146" t="s">
        <v>74</v>
      </c>
      <c r="D146">
        <v>0</v>
      </c>
    </row>
    <row r="147" spans="1:4" x14ac:dyDescent="0.45">
      <c r="A147" t="s">
        <v>34</v>
      </c>
      <c r="B147">
        <v>2016</v>
      </c>
      <c r="C147" t="s">
        <v>74</v>
      </c>
      <c r="D147">
        <v>0.61</v>
      </c>
    </row>
    <row r="148" spans="1:4" x14ac:dyDescent="0.45">
      <c r="A148" t="s">
        <v>36</v>
      </c>
      <c r="B148">
        <v>2016</v>
      </c>
      <c r="C148" t="s">
        <v>74</v>
      </c>
      <c r="D148">
        <v>0</v>
      </c>
    </row>
    <row r="149" spans="1:4" x14ac:dyDescent="0.45">
      <c r="A149" t="s">
        <v>56</v>
      </c>
      <c r="B149">
        <v>2016</v>
      </c>
      <c r="C149" t="s">
        <v>74</v>
      </c>
      <c r="D149">
        <v>16.63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</v>
      </c>
    </row>
    <row r="154" spans="1:4" x14ac:dyDescent="0.45">
      <c r="A154" t="s">
        <v>91</v>
      </c>
      <c r="B154">
        <v>2016</v>
      </c>
      <c r="C154" t="s">
        <v>74</v>
      </c>
      <c r="D154">
        <v>0</v>
      </c>
    </row>
    <row r="155" spans="1:4" x14ac:dyDescent="0.45">
      <c r="A155" t="s">
        <v>32</v>
      </c>
      <c r="B155">
        <v>2017</v>
      </c>
      <c r="C155" t="s">
        <v>74</v>
      </c>
      <c r="D155">
        <v>0</v>
      </c>
    </row>
    <row r="156" spans="1:4" x14ac:dyDescent="0.45">
      <c r="A156" t="s">
        <v>34</v>
      </c>
      <c r="B156">
        <v>2017</v>
      </c>
      <c r="C156" t="s">
        <v>74</v>
      </c>
      <c r="D156">
        <v>0.98</v>
      </c>
    </row>
    <row r="157" spans="1:4" x14ac:dyDescent="0.45">
      <c r="A157" t="s">
        <v>36</v>
      </c>
      <c r="B157">
        <v>2017</v>
      </c>
      <c r="C157" t="s">
        <v>74</v>
      </c>
      <c r="D157">
        <v>0</v>
      </c>
    </row>
    <row r="158" spans="1:4" x14ac:dyDescent="0.45">
      <c r="A158" t="s">
        <v>56</v>
      </c>
      <c r="B158">
        <v>2017</v>
      </c>
      <c r="C158" t="s">
        <v>74</v>
      </c>
      <c r="D158">
        <v>17.13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</v>
      </c>
    </row>
    <row r="163" spans="1:4" x14ac:dyDescent="0.45">
      <c r="A163" t="s">
        <v>91</v>
      </c>
      <c r="B163">
        <v>2017</v>
      </c>
      <c r="C163" t="s">
        <v>74</v>
      </c>
      <c r="D163">
        <v>0</v>
      </c>
    </row>
    <row r="164" spans="1:4" x14ac:dyDescent="0.45">
      <c r="A164" t="s">
        <v>32</v>
      </c>
      <c r="B164">
        <v>2018</v>
      </c>
      <c r="C164" t="s">
        <v>74</v>
      </c>
      <c r="D164">
        <v>0</v>
      </c>
    </row>
    <row r="165" spans="1:4" x14ac:dyDescent="0.45">
      <c r="A165" t="s">
        <v>34</v>
      </c>
      <c r="B165">
        <v>2018</v>
      </c>
      <c r="C165" t="s">
        <v>74</v>
      </c>
      <c r="D165">
        <v>1.35</v>
      </c>
    </row>
    <row r="166" spans="1:4" x14ac:dyDescent="0.45">
      <c r="A166" t="s">
        <v>36</v>
      </c>
      <c r="B166">
        <v>2018</v>
      </c>
      <c r="C166" t="s">
        <v>74</v>
      </c>
      <c r="D166">
        <v>0</v>
      </c>
    </row>
    <row r="167" spans="1:4" x14ac:dyDescent="0.45">
      <c r="A167" t="s">
        <v>56</v>
      </c>
      <c r="B167">
        <v>2018</v>
      </c>
      <c r="C167" t="s">
        <v>74</v>
      </c>
      <c r="D167">
        <v>18.39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</v>
      </c>
    </row>
    <row r="172" spans="1:4" x14ac:dyDescent="0.45">
      <c r="A172" t="s">
        <v>91</v>
      </c>
      <c r="B172">
        <v>2018</v>
      </c>
      <c r="C172" t="s">
        <v>74</v>
      </c>
      <c r="D172">
        <v>0</v>
      </c>
    </row>
    <row r="173" spans="1:4" x14ac:dyDescent="0.45">
      <c r="A173" t="s">
        <v>32</v>
      </c>
      <c r="B173">
        <v>2019</v>
      </c>
      <c r="C173" t="s">
        <v>74</v>
      </c>
      <c r="D173">
        <v>0</v>
      </c>
    </row>
    <row r="174" spans="1:4" x14ac:dyDescent="0.45">
      <c r="A174" t="s">
        <v>34</v>
      </c>
      <c r="B174">
        <v>2019</v>
      </c>
      <c r="C174" t="s">
        <v>74</v>
      </c>
      <c r="D174">
        <v>1.48</v>
      </c>
    </row>
    <row r="175" spans="1:4" x14ac:dyDescent="0.45">
      <c r="A175" t="s">
        <v>36</v>
      </c>
      <c r="B175">
        <v>2019</v>
      </c>
      <c r="C175" t="s">
        <v>74</v>
      </c>
      <c r="D175">
        <v>0.31</v>
      </c>
    </row>
    <row r="176" spans="1:4" x14ac:dyDescent="0.45">
      <c r="A176" t="s">
        <v>56</v>
      </c>
      <c r="B176">
        <v>2019</v>
      </c>
      <c r="C176" t="s">
        <v>74</v>
      </c>
      <c r="D176">
        <v>19.170000000000002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</v>
      </c>
    </row>
    <row r="181" spans="1:4" x14ac:dyDescent="0.45">
      <c r="A181" t="s">
        <v>91</v>
      </c>
      <c r="B181">
        <v>2019</v>
      </c>
      <c r="C181" t="s">
        <v>74</v>
      </c>
      <c r="D181">
        <v>0</v>
      </c>
    </row>
    <row r="182" spans="1:4" x14ac:dyDescent="0.45">
      <c r="A182" t="s">
        <v>32</v>
      </c>
      <c r="B182">
        <v>2020</v>
      </c>
      <c r="C182" t="s">
        <v>74</v>
      </c>
      <c r="D182">
        <v>0</v>
      </c>
    </row>
    <row r="183" spans="1:4" x14ac:dyDescent="0.45">
      <c r="A183" t="s">
        <v>34</v>
      </c>
      <c r="B183">
        <v>2020</v>
      </c>
      <c r="C183" t="s">
        <v>74</v>
      </c>
      <c r="D183">
        <v>1.66</v>
      </c>
    </row>
    <row r="184" spans="1:4" x14ac:dyDescent="0.45">
      <c r="A184" t="s">
        <v>36</v>
      </c>
      <c r="B184">
        <v>2020</v>
      </c>
      <c r="C184" t="s">
        <v>74</v>
      </c>
      <c r="D184">
        <v>0.33</v>
      </c>
    </row>
    <row r="185" spans="1:4" x14ac:dyDescent="0.45">
      <c r="A185" t="s">
        <v>56</v>
      </c>
      <c r="B185">
        <v>2020</v>
      </c>
      <c r="C185" t="s">
        <v>74</v>
      </c>
      <c r="D185">
        <v>18.11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</v>
      </c>
    </row>
    <row r="190" spans="1:4" x14ac:dyDescent="0.45">
      <c r="A190" t="s">
        <v>91</v>
      </c>
      <c r="B190">
        <v>2020</v>
      </c>
      <c r="C190" t="s">
        <v>74</v>
      </c>
      <c r="D190">
        <v>0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1.75</v>
      </c>
    </row>
    <row r="193" spans="1:4" x14ac:dyDescent="0.45">
      <c r="A193" t="s">
        <v>36</v>
      </c>
      <c r="B193">
        <v>2021</v>
      </c>
      <c r="C193" t="s">
        <v>74</v>
      </c>
      <c r="D193">
        <v>0.31</v>
      </c>
    </row>
    <row r="194" spans="1:4" x14ac:dyDescent="0.45">
      <c r="A194" t="s">
        <v>56</v>
      </c>
      <c r="B194">
        <v>2021</v>
      </c>
      <c r="C194" t="s">
        <v>74</v>
      </c>
      <c r="D194">
        <v>18.66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</v>
      </c>
    </row>
    <row r="199" spans="1:4" x14ac:dyDescent="0.45">
      <c r="A199" t="s">
        <v>91</v>
      </c>
      <c r="B199">
        <v>2021</v>
      </c>
      <c r="C199" t="s">
        <v>74</v>
      </c>
      <c r="D199">
        <v>0</v>
      </c>
    </row>
    <row r="200" spans="1:4" x14ac:dyDescent="0.45">
      <c r="A200" t="s">
        <v>32</v>
      </c>
      <c r="B200">
        <v>2022</v>
      </c>
      <c r="C200" t="s">
        <v>74</v>
      </c>
      <c r="D200">
        <v>0</v>
      </c>
    </row>
    <row r="201" spans="1:4" x14ac:dyDescent="0.45">
      <c r="A201" t="s">
        <v>34</v>
      </c>
      <c r="B201">
        <v>2022</v>
      </c>
      <c r="C201" t="s">
        <v>74</v>
      </c>
      <c r="D201">
        <v>1.89</v>
      </c>
    </row>
    <row r="202" spans="1:4" x14ac:dyDescent="0.45">
      <c r="A202" t="s">
        <v>36</v>
      </c>
      <c r="B202">
        <v>2022</v>
      </c>
      <c r="C202" t="s">
        <v>74</v>
      </c>
      <c r="D202">
        <v>0.33</v>
      </c>
    </row>
    <row r="203" spans="1:4" x14ac:dyDescent="0.45">
      <c r="A203" t="s">
        <v>56</v>
      </c>
      <c r="B203">
        <v>2022</v>
      </c>
      <c r="C203" t="s">
        <v>74</v>
      </c>
      <c r="D203">
        <v>18.66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</v>
      </c>
    </row>
    <row r="208" spans="1:4" x14ac:dyDescent="0.45">
      <c r="A208" t="s">
        <v>91</v>
      </c>
      <c r="B208">
        <v>2022</v>
      </c>
      <c r="C208" t="s">
        <v>74</v>
      </c>
      <c r="D208">
        <v>0</v>
      </c>
    </row>
    <row r="209" spans="1:4" x14ac:dyDescent="0.45">
      <c r="A209" t="s">
        <v>32</v>
      </c>
      <c r="B209">
        <v>2000</v>
      </c>
      <c r="C209" t="s">
        <v>75</v>
      </c>
    </row>
    <row r="210" spans="1:4" x14ac:dyDescent="0.45">
      <c r="A210" t="s">
        <v>34</v>
      </c>
      <c r="B210">
        <v>2000</v>
      </c>
      <c r="C210" t="s">
        <v>75</v>
      </c>
      <c r="D210">
        <v>0</v>
      </c>
    </row>
    <row r="211" spans="1:4" x14ac:dyDescent="0.45">
      <c r="A211" t="s">
        <v>36</v>
      </c>
      <c r="B211">
        <v>2000</v>
      </c>
      <c r="C211" t="s">
        <v>75</v>
      </c>
      <c r="D211">
        <v>0.21</v>
      </c>
    </row>
    <row r="212" spans="1:4" x14ac:dyDescent="0.45">
      <c r="A212" t="s">
        <v>56</v>
      </c>
      <c r="B212">
        <v>2000</v>
      </c>
      <c r="C212" t="s">
        <v>75</v>
      </c>
      <c r="D212">
        <v>4.0599999999999996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</row>
    <row r="218" spans="1:4" x14ac:dyDescent="0.45">
      <c r="A218" t="s">
        <v>32</v>
      </c>
      <c r="B218">
        <v>2001</v>
      </c>
      <c r="C218" t="s">
        <v>75</v>
      </c>
    </row>
    <row r="219" spans="1:4" x14ac:dyDescent="0.45">
      <c r="A219" t="s">
        <v>34</v>
      </c>
      <c r="B219">
        <v>2001</v>
      </c>
      <c r="C219" t="s">
        <v>75</v>
      </c>
      <c r="D219">
        <v>0</v>
      </c>
    </row>
    <row r="220" spans="1:4" x14ac:dyDescent="0.45">
      <c r="A220" t="s">
        <v>36</v>
      </c>
      <c r="B220">
        <v>2001</v>
      </c>
      <c r="C220" t="s">
        <v>75</v>
      </c>
      <c r="D220">
        <v>0.21</v>
      </c>
    </row>
    <row r="221" spans="1:4" x14ac:dyDescent="0.45">
      <c r="A221" t="s">
        <v>56</v>
      </c>
      <c r="B221">
        <v>2001</v>
      </c>
      <c r="C221" t="s">
        <v>75</v>
      </c>
      <c r="D221">
        <v>4.0599999999999996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</row>
    <row r="227" spans="1:4" x14ac:dyDescent="0.45">
      <c r="A227" t="s">
        <v>32</v>
      </c>
      <c r="B227">
        <v>2002</v>
      </c>
      <c r="C227" t="s">
        <v>75</v>
      </c>
    </row>
    <row r="228" spans="1:4" x14ac:dyDescent="0.45">
      <c r="A228" t="s">
        <v>34</v>
      </c>
      <c r="B228">
        <v>2002</v>
      </c>
      <c r="C228" t="s">
        <v>75</v>
      </c>
      <c r="D228">
        <v>0</v>
      </c>
    </row>
    <row r="229" spans="1:4" x14ac:dyDescent="0.45">
      <c r="A229" t="s">
        <v>36</v>
      </c>
      <c r="B229">
        <v>2002</v>
      </c>
      <c r="C229" t="s">
        <v>75</v>
      </c>
      <c r="D229">
        <v>0.21</v>
      </c>
    </row>
    <row r="230" spans="1:4" x14ac:dyDescent="0.45">
      <c r="A230" t="s">
        <v>56</v>
      </c>
      <c r="B230">
        <v>2002</v>
      </c>
      <c r="C230" t="s">
        <v>75</v>
      </c>
      <c r="D230">
        <v>4.0599999999999996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</row>
    <row r="236" spans="1:4" x14ac:dyDescent="0.45">
      <c r="A236" t="s">
        <v>32</v>
      </c>
      <c r="B236">
        <v>2003</v>
      </c>
      <c r="C236" t="s">
        <v>75</v>
      </c>
    </row>
    <row r="237" spans="1:4" x14ac:dyDescent="0.45">
      <c r="A237" t="s">
        <v>34</v>
      </c>
      <c r="B237">
        <v>2003</v>
      </c>
      <c r="C237" t="s">
        <v>75</v>
      </c>
      <c r="D237">
        <v>0</v>
      </c>
    </row>
    <row r="238" spans="1:4" x14ac:dyDescent="0.45">
      <c r="A238" t="s">
        <v>36</v>
      </c>
      <c r="B238">
        <v>2003</v>
      </c>
      <c r="C238" t="s">
        <v>75</v>
      </c>
      <c r="D238">
        <v>0.21</v>
      </c>
    </row>
    <row r="239" spans="1:4" x14ac:dyDescent="0.45">
      <c r="A239" t="s">
        <v>56</v>
      </c>
      <c r="B239">
        <v>2003</v>
      </c>
      <c r="C239" t="s">
        <v>75</v>
      </c>
      <c r="D239">
        <v>4.0599999999999996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</row>
    <row r="245" spans="1:4" x14ac:dyDescent="0.45">
      <c r="A245" t="s">
        <v>32</v>
      </c>
      <c r="B245">
        <v>2004</v>
      </c>
      <c r="C245" t="s">
        <v>75</v>
      </c>
    </row>
    <row r="246" spans="1:4" x14ac:dyDescent="0.45">
      <c r="A246" t="s">
        <v>34</v>
      </c>
      <c r="B246">
        <v>2004</v>
      </c>
      <c r="C246" t="s">
        <v>75</v>
      </c>
      <c r="D246">
        <v>0</v>
      </c>
    </row>
    <row r="247" spans="1:4" x14ac:dyDescent="0.45">
      <c r="A247" t="s">
        <v>36</v>
      </c>
      <c r="B247">
        <v>2004</v>
      </c>
      <c r="C247" t="s">
        <v>75</v>
      </c>
      <c r="D247">
        <v>0.21</v>
      </c>
    </row>
    <row r="248" spans="1:4" x14ac:dyDescent="0.45">
      <c r="A248" t="s">
        <v>56</v>
      </c>
      <c r="B248">
        <v>2004</v>
      </c>
      <c r="C248" t="s">
        <v>75</v>
      </c>
      <c r="D248">
        <v>4.0599999999999996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</row>
    <row r="254" spans="1:4" x14ac:dyDescent="0.45">
      <c r="A254" t="s">
        <v>32</v>
      </c>
      <c r="B254">
        <v>2005</v>
      </c>
      <c r="C254" t="s">
        <v>75</v>
      </c>
    </row>
    <row r="255" spans="1:4" x14ac:dyDescent="0.45">
      <c r="A255" t="s">
        <v>34</v>
      </c>
      <c r="B255">
        <v>2005</v>
      </c>
      <c r="C255" t="s">
        <v>75</v>
      </c>
      <c r="D255">
        <v>0</v>
      </c>
    </row>
    <row r="256" spans="1:4" x14ac:dyDescent="0.45">
      <c r="A256" t="s">
        <v>36</v>
      </c>
      <c r="B256">
        <v>2005</v>
      </c>
      <c r="C256" t="s">
        <v>75</v>
      </c>
      <c r="D256">
        <v>0.21</v>
      </c>
    </row>
    <row r="257" spans="1:4" x14ac:dyDescent="0.45">
      <c r="A257" t="s">
        <v>56</v>
      </c>
      <c r="B257">
        <v>2005</v>
      </c>
      <c r="C257" t="s">
        <v>75</v>
      </c>
      <c r="D257">
        <v>4.12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</row>
    <row r="263" spans="1:4" x14ac:dyDescent="0.45">
      <c r="A263" t="s">
        <v>32</v>
      </c>
      <c r="B263">
        <v>2006</v>
      </c>
      <c r="C263" t="s">
        <v>75</v>
      </c>
    </row>
    <row r="264" spans="1:4" x14ac:dyDescent="0.45">
      <c r="A264" t="s">
        <v>34</v>
      </c>
      <c r="B264">
        <v>2006</v>
      </c>
      <c r="C264" t="s">
        <v>75</v>
      </c>
      <c r="D264">
        <v>0</v>
      </c>
    </row>
    <row r="265" spans="1:4" x14ac:dyDescent="0.45">
      <c r="A265" t="s">
        <v>36</v>
      </c>
      <c r="B265">
        <v>2006</v>
      </c>
      <c r="C265" t="s">
        <v>75</v>
      </c>
      <c r="D265">
        <v>0.21</v>
      </c>
    </row>
    <row r="266" spans="1:4" x14ac:dyDescent="0.45">
      <c r="A266" t="s">
        <v>56</v>
      </c>
      <c r="B266">
        <v>2006</v>
      </c>
      <c r="C266" t="s">
        <v>75</v>
      </c>
      <c r="D266">
        <v>4.12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</row>
    <row r="272" spans="1:4" x14ac:dyDescent="0.45">
      <c r="A272" t="s">
        <v>32</v>
      </c>
      <c r="B272">
        <v>2007</v>
      </c>
      <c r="C272" t="s">
        <v>75</v>
      </c>
    </row>
    <row r="273" spans="1:4" x14ac:dyDescent="0.45">
      <c r="A273" t="s">
        <v>34</v>
      </c>
      <c r="B273">
        <v>2007</v>
      </c>
      <c r="C273" t="s">
        <v>75</v>
      </c>
      <c r="D273">
        <v>0</v>
      </c>
    </row>
    <row r="274" spans="1:4" x14ac:dyDescent="0.45">
      <c r="A274" t="s">
        <v>36</v>
      </c>
      <c r="B274">
        <v>2007</v>
      </c>
      <c r="C274" t="s">
        <v>75</v>
      </c>
      <c r="D274">
        <v>0.21</v>
      </c>
    </row>
    <row r="275" spans="1:4" x14ac:dyDescent="0.45">
      <c r="A275" t="s">
        <v>56</v>
      </c>
      <c r="B275">
        <v>2007</v>
      </c>
      <c r="C275" t="s">
        <v>75</v>
      </c>
      <c r="D275">
        <v>4.12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</row>
    <row r="281" spans="1:4" x14ac:dyDescent="0.45">
      <c r="A281" t="s">
        <v>32</v>
      </c>
      <c r="B281">
        <v>2008</v>
      </c>
      <c r="C281" t="s">
        <v>75</v>
      </c>
    </row>
    <row r="282" spans="1:4" x14ac:dyDescent="0.45">
      <c r="A282" t="s">
        <v>34</v>
      </c>
      <c r="B282">
        <v>2008</v>
      </c>
      <c r="C282" t="s">
        <v>75</v>
      </c>
      <c r="D282">
        <v>0</v>
      </c>
    </row>
    <row r="283" spans="1:4" x14ac:dyDescent="0.45">
      <c r="A283" t="s">
        <v>36</v>
      </c>
      <c r="B283">
        <v>2008</v>
      </c>
      <c r="C283" t="s">
        <v>75</v>
      </c>
      <c r="D283">
        <v>0.21</v>
      </c>
    </row>
    <row r="284" spans="1:4" x14ac:dyDescent="0.45">
      <c r="A284" t="s">
        <v>56</v>
      </c>
      <c r="B284">
        <v>2008</v>
      </c>
      <c r="C284" t="s">
        <v>75</v>
      </c>
      <c r="D284">
        <v>4.12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</row>
    <row r="290" spans="1:4" x14ac:dyDescent="0.45">
      <c r="A290" t="s">
        <v>32</v>
      </c>
      <c r="B290">
        <v>2009</v>
      </c>
      <c r="C290" t="s">
        <v>75</v>
      </c>
    </row>
    <row r="291" spans="1:4" x14ac:dyDescent="0.45">
      <c r="A291" t="s">
        <v>34</v>
      </c>
      <c r="B291">
        <v>2009</v>
      </c>
      <c r="C291" t="s">
        <v>75</v>
      </c>
      <c r="D291">
        <v>0</v>
      </c>
    </row>
    <row r="292" spans="1:4" x14ac:dyDescent="0.45">
      <c r="A292" t="s">
        <v>36</v>
      </c>
      <c r="B292">
        <v>2009</v>
      </c>
      <c r="C292" t="s">
        <v>75</v>
      </c>
      <c r="D292">
        <v>0.21</v>
      </c>
    </row>
    <row r="293" spans="1:4" x14ac:dyDescent="0.45">
      <c r="A293" t="s">
        <v>56</v>
      </c>
      <c r="B293">
        <v>2009</v>
      </c>
      <c r="C293" t="s">
        <v>75</v>
      </c>
      <c r="D293">
        <v>4.8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</row>
    <row r="299" spans="1:4" x14ac:dyDescent="0.45">
      <c r="A299" t="s">
        <v>32</v>
      </c>
      <c r="B299">
        <v>2010</v>
      </c>
      <c r="C299" t="s">
        <v>75</v>
      </c>
    </row>
    <row r="300" spans="1:4" x14ac:dyDescent="0.45">
      <c r="A300" t="s">
        <v>34</v>
      </c>
      <c r="B300">
        <v>2010</v>
      </c>
      <c r="C300" t="s">
        <v>75</v>
      </c>
      <c r="D300">
        <v>0</v>
      </c>
    </row>
    <row r="301" spans="1:4" x14ac:dyDescent="0.45">
      <c r="A301" t="s">
        <v>36</v>
      </c>
      <c r="B301">
        <v>2010</v>
      </c>
      <c r="C301" t="s">
        <v>75</v>
      </c>
      <c r="D301">
        <v>0.21</v>
      </c>
    </row>
    <row r="302" spans="1:4" x14ac:dyDescent="0.45">
      <c r="A302" t="s">
        <v>56</v>
      </c>
      <c r="B302">
        <v>2010</v>
      </c>
      <c r="C302" t="s">
        <v>75</v>
      </c>
      <c r="D302">
        <v>4.8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</v>
      </c>
    </row>
    <row r="307" spans="1:4" x14ac:dyDescent="0.45">
      <c r="A307" t="s">
        <v>91</v>
      </c>
      <c r="B307">
        <v>2010</v>
      </c>
      <c r="C307" t="s">
        <v>75</v>
      </c>
    </row>
    <row r="308" spans="1:4" x14ac:dyDescent="0.45">
      <c r="A308" t="s">
        <v>32</v>
      </c>
      <c r="B308">
        <v>2011</v>
      </c>
      <c r="C308" t="s">
        <v>75</v>
      </c>
    </row>
    <row r="309" spans="1:4" x14ac:dyDescent="0.45">
      <c r="A309" t="s">
        <v>34</v>
      </c>
      <c r="B309">
        <v>2011</v>
      </c>
      <c r="C309" t="s">
        <v>75</v>
      </c>
      <c r="D309">
        <v>0</v>
      </c>
    </row>
    <row r="310" spans="1:4" x14ac:dyDescent="0.45">
      <c r="A310" t="s">
        <v>36</v>
      </c>
      <c r="B310">
        <v>2011</v>
      </c>
      <c r="C310" t="s">
        <v>75</v>
      </c>
      <c r="D310">
        <v>0.21</v>
      </c>
    </row>
    <row r="311" spans="1:4" x14ac:dyDescent="0.45">
      <c r="A311" t="s">
        <v>56</v>
      </c>
      <c r="B311">
        <v>2011</v>
      </c>
      <c r="C311" t="s">
        <v>75</v>
      </c>
      <c r="D311">
        <v>4.8099999999999996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</v>
      </c>
    </row>
    <row r="316" spans="1:4" x14ac:dyDescent="0.45">
      <c r="A316" t="s">
        <v>91</v>
      </c>
      <c r="B316">
        <v>2011</v>
      </c>
      <c r="C316" t="s">
        <v>75</v>
      </c>
    </row>
    <row r="317" spans="1:4" x14ac:dyDescent="0.45">
      <c r="A317" t="s">
        <v>32</v>
      </c>
      <c r="B317">
        <v>2012</v>
      </c>
      <c r="C317" t="s">
        <v>75</v>
      </c>
    </row>
    <row r="318" spans="1:4" x14ac:dyDescent="0.45">
      <c r="A318" t="s">
        <v>34</v>
      </c>
      <c r="B318">
        <v>2012</v>
      </c>
      <c r="C318" t="s">
        <v>75</v>
      </c>
      <c r="D318">
        <v>0</v>
      </c>
    </row>
    <row r="319" spans="1:4" x14ac:dyDescent="0.45">
      <c r="A319" t="s">
        <v>36</v>
      </c>
      <c r="B319">
        <v>2012</v>
      </c>
      <c r="C319" t="s">
        <v>75</v>
      </c>
      <c r="D319">
        <v>0.21</v>
      </c>
    </row>
    <row r="320" spans="1:4" x14ac:dyDescent="0.45">
      <c r="A320" t="s">
        <v>56</v>
      </c>
      <c r="B320">
        <v>2012</v>
      </c>
      <c r="C320" t="s">
        <v>75</v>
      </c>
      <c r="D320">
        <v>4.87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</v>
      </c>
    </row>
    <row r="325" spans="1:4" x14ac:dyDescent="0.45">
      <c r="A325" t="s">
        <v>91</v>
      </c>
      <c r="B325">
        <v>2012</v>
      </c>
      <c r="C325" t="s">
        <v>75</v>
      </c>
    </row>
    <row r="326" spans="1:4" x14ac:dyDescent="0.45">
      <c r="A326" t="s">
        <v>32</v>
      </c>
      <c r="B326">
        <v>2013</v>
      </c>
      <c r="C326" t="s">
        <v>75</v>
      </c>
    </row>
    <row r="327" spans="1:4" x14ac:dyDescent="0.45">
      <c r="A327" t="s">
        <v>34</v>
      </c>
      <c r="B327">
        <v>2013</v>
      </c>
      <c r="C327" t="s">
        <v>75</v>
      </c>
      <c r="D327">
        <v>0</v>
      </c>
    </row>
    <row r="328" spans="1:4" x14ac:dyDescent="0.45">
      <c r="A328" t="s">
        <v>36</v>
      </c>
      <c r="B328">
        <v>2013</v>
      </c>
      <c r="C328" t="s">
        <v>75</v>
      </c>
      <c r="D328">
        <v>0.21</v>
      </c>
    </row>
    <row r="329" spans="1:4" x14ac:dyDescent="0.45">
      <c r="A329" t="s">
        <v>56</v>
      </c>
      <c r="B329">
        <v>2013</v>
      </c>
      <c r="C329" t="s">
        <v>75</v>
      </c>
      <c r="D329">
        <v>4.87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</v>
      </c>
    </row>
    <row r="334" spans="1:4" x14ac:dyDescent="0.45">
      <c r="A334" t="s">
        <v>91</v>
      </c>
      <c r="B334">
        <v>2013</v>
      </c>
      <c r="C334" t="s">
        <v>75</v>
      </c>
    </row>
    <row r="335" spans="1:4" x14ac:dyDescent="0.45">
      <c r="A335" t="s">
        <v>32</v>
      </c>
      <c r="B335">
        <v>2014</v>
      </c>
      <c r="C335" t="s">
        <v>75</v>
      </c>
    </row>
    <row r="336" spans="1:4" x14ac:dyDescent="0.45">
      <c r="A336" t="s">
        <v>34</v>
      </c>
      <c r="B336">
        <v>2014</v>
      </c>
      <c r="C336" t="s">
        <v>75</v>
      </c>
      <c r="D336">
        <v>0.1</v>
      </c>
    </row>
    <row r="337" spans="1:4" x14ac:dyDescent="0.45">
      <c r="A337" t="s">
        <v>36</v>
      </c>
      <c r="B337">
        <v>2014</v>
      </c>
      <c r="C337" t="s">
        <v>75</v>
      </c>
      <c r="D337">
        <v>0.21</v>
      </c>
    </row>
    <row r="338" spans="1:4" x14ac:dyDescent="0.45">
      <c r="A338" t="s">
        <v>56</v>
      </c>
      <c r="B338">
        <v>2014</v>
      </c>
      <c r="C338" t="s">
        <v>75</v>
      </c>
      <c r="D338">
        <v>4.9800000000000004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</v>
      </c>
    </row>
    <row r="343" spans="1:4" x14ac:dyDescent="0.45">
      <c r="A343" t="s">
        <v>91</v>
      </c>
      <c r="B343">
        <v>2014</v>
      </c>
      <c r="C343" t="s">
        <v>75</v>
      </c>
    </row>
    <row r="344" spans="1:4" x14ac:dyDescent="0.45">
      <c r="A344" t="s">
        <v>32</v>
      </c>
      <c r="B344">
        <v>2015</v>
      </c>
      <c r="C344" t="s">
        <v>75</v>
      </c>
    </row>
    <row r="345" spans="1:4" x14ac:dyDescent="0.45">
      <c r="A345" t="s">
        <v>34</v>
      </c>
      <c r="B345">
        <v>2015</v>
      </c>
      <c r="C345" t="s">
        <v>75</v>
      </c>
      <c r="D345">
        <v>0.1</v>
      </c>
    </row>
    <row r="346" spans="1:4" x14ac:dyDescent="0.45">
      <c r="A346" t="s">
        <v>36</v>
      </c>
      <c r="B346">
        <v>2015</v>
      </c>
      <c r="C346" t="s">
        <v>75</v>
      </c>
      <c r="D346">
        <v>0.21</v>
      </c>
    </row>
    <row r="347" spans="1:4" x14ac:dyDescent="0.45">
      <c r="A347" t="s">
        <v>56</v>
      </c>
      <c r="B347">
        <v>2015</v>
      </c>
      <c r="C347" t="s">
        <v>75</v>
      </c>
      <c r="D347">
        <v>4.9800000000000004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</v>
      </c>
    </row>
    <row r="352" spans="1:4" x14ac:dyDescent="0.45">
      <c r="A352" t="s">
        <v>91</v>
      </c>
      <c r="B352">
        <v>2015</v>
      </c>
      <c r="C352" t="s">
        <v>75</v>
      </c>
    </row>
    <row r="353" spans="1:4" x14ac:dyDescent="0.45">
      <c r="A353" t="s">
        <v>32</v>
      </c>
      <c r="B353">
        <v>2016</v>
      </c>
      <c r="C353" t="s">
        <v>75</v>
      </c>
    </row>
    <row r="354" spans="1:4" x14ac:dyDescent="0.45">
      <c r="A354" t="s">
        <v>34</v>
      </c>
      <c r="B354">
        <v>2016</v>
      </c>
      <c r="C354" t="s">
        <v>75</v>
      </c>
      <c r="D354">
        <v>0.4</v>
      </c>
    </row>
    <row r="355" spans="1:4" x14ac:dyDescent="0.45">
      <c r="A355" t="s">
        <v>36</v>
      </c>
      <c r="B355">
        <v>2016</v>
      </c>
      <c r="C355" t="s">
        <v>75</v>
      </c>
      <c r="D355">
        <v>0.21</v>
      </c>
    </row>
    <row r="356" spans="1:4" x14ac:dyDescent="0.45">
      <c r="A356" t="s">
        <v>56</v>
      </c>
      <c r="B356">
        <v>2016</v>
      </c>
      <c r="C356" t="s">
        <v>75</v>
      </c>
      <c r="D356">
        <v>4.9800000000000004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</v>
      </c>
    </row>
    <row r="361" spans="1:4" x14ac:dyDescent="0.45">
      <c r="A361" t="s">
        <v>91</v>
      </c>
      <c r="B361">
        <v>2016</v>
      </c>
      <c r="C361" t="s">
        <v>75</v>
      </c>
    </row>
    <row r="362" spans="1:4" x14ac:dyDescent="0.45">
      <c r="A362" t="s">
        <v>32</v>
      </c>
      <c r="B362">
        <v>2017</v>
      </c>
      <c r="C362" t="s">
        <v>75</v>
      </c>
    </row>
    <row r="363" spans="1:4" x14ac:dyDescent="0.45">
      <c r="A363" t="s">
        <v>34</v>
      </c>
      <c r="B363">
        <v>2017</v>
      </c>
      <c r="C363" t="s">
        <v>75</v>
      </c>
      <c r="D363">
        <v>0.4</v>
      </c>
    </row>
    <row r="364" spans="1:4" x14ac:dyDescent="0.45">
      <c r="A364" t="s">
        <v>36</v>
      </c>
      <c r="B364">
        <v>2017</v>
      </c>
      <c r="C364" t="s">
        <v>75</v>
      </c>
      <c r="D364">
        <v>0.21</v>
      </c>
    </row>
    <row r="365" spans="1:4" x14ac:dyDescent="0.45">
      <c r="A365" t="s">
        <v>56</v>
      </c>
      <c r="B365">
        <v>2017</v>
      </c>
      <c r="C365" t="s">
        <v>75</v>
      </c>
      <c r="D365">
        <v>4.9800000000000004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</v>
      </c>
    </row>
    <row r="370" spans="1:4" x14ac:dyDescent="0.45">
      <c r="A370" t="s">
        <v>91</v>
      </c>
      <c r="B370">
        <v>2017</v>
      </c>
      <c r="C370" t="s">
        <v>75</v>
      </c>
    </row>
    <row r="371" spans="1:4" x14ac:dyDescent="0.45">
      <c r="A371" t="s">
        <v>32</v>
      </c>
      <c r="B371">
        <v>2018</v>
      </c>
      <c r="C371" t="s">
        <v>75</v>
      </c>
    </row>
    <row r="372" spans="1:4" x14ac:dyDescent="0.45">
      <c r="A372" t="s">
        <v>34</v>
      </c>
      <c r="B372">
        <v>2018</v>
      </c>
      <c r="C372" t="s">
        <v>75</v>
      </c>
      <c r="D372">
        <v>0.4</v>
      </c>
    </row>
    <row r="373" spans="1:4" x14ac:dyDescent="0.45">
      <c r="A373" t="s">
        <v>36</v>
      </c>
      <c r="B373">
        <v>2018</v>
      </c>
      <c r="C373" t="s">
        <v>75</v>
      </c>
      <c r="D373">
        <v>0.21</v>
      </c>
    </row>
    <row r="374" spans="1:4" x14ac:dyDescent="0.45">
      <c r="A374" t="s">
        <v>56</v>
      </c>
      <c r="B374">
        <v>2018</v>
      </c>
      <c r="C374" t="s">
        <v>75</v>
      </c>
      <c r="D374">
        <v>4.9800000000000004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</v>
      </c>
    </row>
    <row r="379" spans="1:4" x14ac:dyDescent="0.45">
      <c r="A379" t="s">
        <v>91</v>
      </c>
      <c r="B379">
        <v>2018</v>
      </c>
      <c r="C379" t="s">
        <v>75</v>
      </c>
    </row>
    <row r="380" spans="1:4" x14ac:dyDescent="0.45">
      <c r="A380" t="s">
        <v>32</v>
      </c>
      <c r="B380">
        <v>2019</v>
      </c>
      <c r="C380" t="s">
        <v>75</v>
      </c>
    </row>
    <row r="381" spans="1:4" x14ac:dyDescent="0.45">
      <c r="A381" t="s">
        <v>34</v>
      </c>
      <c r="B381">
        <v>2019</v>
      </c>
      <c r="C381" t="s">
        <v>75</v>
      </c>
      <c r="D381">
        <v>0.4</v>
      </c>
    </row>
    <row r="382" spans="1:4" x14ac:dyDescent="0.45">
      <c r="A382" t="s">
        <v>36</v>
      </c>
      <c r="B382">
        <v>2019</v>
      </c>
      <c r="C382" t="s">
        <v>75</v>
      </c>
      <c r="D382">
        <v>0.21</v>
      </c>
    </row>
    <row r="383" spans="1:4" x14ac:dyDescent="0.45">
      <c r="A383" t="s">
        <v>56</v>
      </c>
      <c r="B383">
        <v>2019</v>
      </c>
      <c r="C383" t="s">
        <v>75</v>
      </c>
      <c r="D383">
        <v>5.74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</v>
      </c>
    </row>
    <row r="388" spans="1:4" x14ac:dyDescent="0.45">
      <c r="A388" t="s">
        <v>91</v>
      </c>
      <c r="B388">
        <v>2019</v>
      </c>
      <c r="C388" t="s">
        <v>75</v>
      </c>
    </row>
    <row r="389" spans="1:4" x14ac:dyDescent="0.45">
      <c r="A389" t="s">
        <v>32</v>
      </c>
      <c r="B389">
        <v>2020</v>
      </c>
      <c r="C389" t="s">
        <v>75</v>
      </c>
    </row>
    <row r="390" spans="1:4" x14ac:dyDescent="0.45">
      <c r="A390" t="s">
        <v>34</v>
      </c>
      <c r="B390">
        <v>2020</v>
      </c>
      <c r="C390" t="s">
        <v>75</v>
      </c>
      <c r="D390">
        <v>0.4</v>
      </c>
    </row>
    <row r="391" spans="1:4" x14ac:dyDescent="0.45">
      <c r="A391" t="s">
        <v>36</v>
      </c>
      <c r="B391">
        <v>2020</v>
      </c>
      <c r="C391" t="s">
        <v>75</v>
      </c>
      <c r="D391">
        <v>0.21</v>
      </c>
    </row>
    <row r="392" spans="1:4" x14ac:dyDescent="0.45">
      <c r="A392" t="s">
        <v>56</v>
      </c>
      <c r="B392">
        <v>2020</v>
      </c>
      <c r="C392" t="s">
        <v>75</v>
      </c>
      <c r="D392">
        <v>5.74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</v>
      </c>
    </row>
    <row r="397" spans="1:4" x14ac:dyDescent="0.45">
      <c r="A397" t="s">
        <v>91</v>
      </c>
      <c r="B397">
        <v>2020</v>
      </c>
      <c r="C397" t="s">
        <v>75</v>
      </c>
    </row>
    <row r="398" spans="1:4" x14ac:dyDescent="0.45">
      <c r="A398" t="s">
        <v>32</v>
      </c>
      <c r="B398">
        <v>2021</v>
      </c>
      <c r="C398" t="s">
        <v>75</v>
      </c>
    </row>
    <row r="399" spans="1:4" x14ac:dyDescent="0.45">
      <c r="A399" t="s">
        <v>34</v>
      </c>
      <c r="B399">
        <v>2021</v>
      </c>
      <c r="C399" t="s">
        <v>75</v>
      </c>
      <c r="D399">
        <v>0.4</v>
      </c>
    </row>
    <row r="400" spans="1:4" x14ac:dyDescent="0.45">
      <c r="A400" t="s">
        <v>36</v>
      </c>
      <c r="B400">
        <v>2021</v>
      </c>
      <c r="C400" t="s">
        <v>75</v>
      </c>
      <c r="D400">
        <v>0.21</v>
      </c>
    </row>
    <row r="401" spans="1:4" x14ac:dyDescent="0.45">
      <c r="A401" t="s">
        <v>56</v>
      </c>
      <c r="B401">
        <v>2021</v>
      </c>
      <c r="C401" t="s">
        <v>75</v>
      </c>
      <c r="D401">
        <v>5.74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</v>
      </c>
    </row>
    <row r="406" spans="1:4" x14ac:dyDescent="0.45">
      <c r="A406" t="s">
        <v>91</v>
      </c>
      <c r="B406">
        <v>2021</v>
      </c>
      <c r="C406" t="s">
        <v>75</v>
      </c>
    </row>
    <row r="407" spans="1:4" x14ac:dyDescent="0.45">
      <c r="A407" t="s">
        <v>32</v>
      </c>
      <c r="B407">
        <v>2022</v>
      </c>
      <c r="C407" t="s">
        <v>75</v>
      </c>
    </row>
    <row r="408" spans="1:4" x14ac:dyDescent="0.45">
      <c r="A408" t="s">
        <v>34</v>
      </c>
      <c r="B408">
        <v>2022</v>
      </c>
      <c r="C408" t="s">
        <v>75</v>
      </c>
      <c r="D408">
        <v>0.4</v>
      </c>
    </row>
    <row r="409" spans="1:4" x14ac:dyDescent="0.45">
      <c r="A409" t="s">
        <v>36</v>
      </c>
      <c r="B409">
        <v>2022</v>
      </c>
      <c r="C409" t="s">
        <v>75</v>
      </c>
      <c r="D409">
        <v>0.21</v>
      </c>
    </row>
    <row r="410" spans="1:4" x14ac:dyDescent="0.45">
      <c r="A410" t="s">
        <v>56</v>
      </c>
      <c r="B410">
        <v>2022</v>
      </c>
      <c r="C410" t="s">
        <v>75</v>
      </c>
      <c r="D410">
        <v>5.76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</v>
      </c>
    </row>
    <row r="415" spans="1:4" x14ac:dyDescent="0.45">
      <c r="A415" t="s">
        <v>91</v>
      </c>
      <c r="B415">
        <v>2022</v>
      </c>
      <c r="C415" t="s">
        <v>75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0</v>
      </c>
    </row>
    <row r="418" spans="1:4" x14ac:dyDescent="0.45">
      <c r="A418" t="s">
        <v>36</v>
      </c>
      <c r="B418">
        <v>2000</v>
      </c>
      <c r="C418" t="s">
        <v>76</v>
      </c>
      <c r="D418">
        <v>0.13</v>
      </c>
    </row>
    <row r="419" spans="1:4" x14ac:dyDescent="0.45">
      <c r="A419" t="s">
        <v>56</v>
      </c>
      <c r="B419">
        <v>2000</v>
      </c>
      <c r="C419" t="s">
        <v>76</v>
      </c>
      <c r="D419">
        <v>0.33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0</v>
      </c>
    </row>
    <row r="427" spans="1:4" x14ac:dyDescent="0.45">
      <c r="A427" t="s">
        <v>36</v>
      </c>
      <c r="B427">
        <v>2001</v>
      </c>
      <c r="C427" t="s">
        <v>76</v>
      </c>
      <c r="D427">
        <v>0.1</v>
      </c>
    </row>
    <row r="428" spans="1:4" x14ac:dyDescent="0.45">
      <c r="A428" t="s">
        <v>56</v>
      </c>
      <c r="B428">
        <v>2001</v>
      </c>
      <c r="C428" t="s">
        <v>76</v>
      </c>
      <c r="D428">
        <v>0.34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0</v>
      </c>
    </row>
    <row r="436" spans="1:4" x14ac:dyDescent="0.45">
      <c r="A436" t="s">
        <v>36</v>
      </c>
      <c r="B436">
        <v>2002</v>
      </c>
      <c r="C436" t="s">
        <v>76</v>
      </c>
      <c r="D436">
        <v>0.08</v>
      </c>
    </row>
    <row r="437" spans="1:4" x14ac:dyDescent="0.45">
      <c r="A437" t="s">
        <v>56</v>
      </c>
      <c r="B437">
        <v>2002</v>
      </c>
      <c r="C437" t="s">
        <v>76</v>
      </c>
      <c r="D437">
        <v>0.36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0</v>
      </c>
    </row>
    <row r="445" spans="1:4" x14ac:dyDescent="0.45">
      <c r="A445" t="s">
        <v>36</v>
      </c>
      <c r="B445">
        <v>2003</v>
      </c>
      <c r="C445" t="s">
        <v>76</v>
      </c>
      <c r="D445">
        <v>0.1</v>
      </c>
    </row>
    <row r="446" spans="1:4" x14ac:dyDescent="0.45">
      <c r="A446" t="s">
        <v>56</v>
      </c>
      <c r="B446">
        <v>2003</v>
      </c>
      <c r="C446" t="s">
        <v>76</v>
      </c>
      <c r="D446">
        <v>0.39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0</v>
      </c>
    </row>
    <row r="454" spans="1:4" x14ac:dyDescent="0.45">
      <c r="A454" t="s">
        <v>36</v>
      </c>
      <c r="B454">
        <v>2004</v>
      </c>
      <c r="C454" t="s">
        <v>76</v>
      </c>
      <c r="D454">
        <v>0.09</v>
      </c>
    </row>
    <row r="455" spans="1:4" x14ac:dyDescent="0.45">
      <c r="A455" t="s">
        <v>56</v>
      </c>
      <c r="B455">
        <v>2004</v>
      </c>
      <c r="C455" t="s">
        <v>76</v>
      </c>
      <c r="D455">
        <v>0.39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0</v>
      </c>
    </row>
    <row r="463" spans="1:4" x14ac:dyDescent="0.45">
      <c r="A463" t="s">
        <v>36</v>
      </c>
      <c r="B463">
        <v>2005</v>
      </c>
      <c r="C463" t="s">
        <v>76</v>
      </c>
      <c r="D463">
        <v>7.0000000000000007E-2</v>
      </c>
    </row>
    <row r="464" spans="1:4" x14ac:dyDescent="0.45">
      <c r="A464" t="s">
        <v>56</v>
      </c>
      <c r="B464">
        <v>2005</v>
      </c>
      <c r="C464" t="s">
        <v>76</v>
      </c>
      <c r="D464">
        <v>0.4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</v>
      </c>
    </row>
    <row r="471" spans="1:4" x14ac:dyDescent="0.45">
      <c r="A471" t="s">
        <v>34</v>
      </c>
      <c r="B471">
        <v>2006</v>
      </c>
      <c r="C471" t="s">
        <v>76</v>
      </c>
      <c r="D471">
        <v>0</v>
      </c>
    </row>
    <row r="472" spans="1:4" x14ac:dyDescent="0.45">
      <c r="A472" t="s">
        <v>36</v>
      </c>
      <c r="B472">
        <v>2006</v>
      </c>
      <c r="C472" t="s">
        <v>76</v>
      </c>
      <c r="D472">
        <v>0.13</v>
      </c>
    </row>
    <row r="473" spans="1:4" x14ac:dyDescent="0.45">
      <c r="A473" t="s">
        <v>56</v>
      </c>
      <c r="B473">
        <v>2006</v>
      </c>
      <c r="C473" t="s">
        <v>76</v>
      </c>
      <c r="D473">
        <v>0.4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</v>
      </c>
    </row>
    <row r="480" spans="1:4" x14ac:dyDescent="0.45">
      <c r="A480" t="s">
        <v>34</v>
      </c>
      <c r="B480">
        <v>2007</v>
      </c>
      <c r="C480" t="s">
        <v>76</v>
      </c>
      <c r="D480">
        <v>0</v>
      </c>
    </row>
    <row r="481" spans="1:4" x14ac:dyDescent="0.45">
      <c r="A481" t="s">
        <v>36</v>
      </c>
      <c r="B481">
        <v>2007</v>
      </c>
      <c r="C481" t="s">
        <v>76</v>
      </c>
      <c r="D481">
        <v>0.22</v>
      </c>
    </row>
    <row r="482" spans="1:4" x14ac:dyDescent="0.45">
      <c r="A482" t="s">
        <v>56</v>
      </c>
      <c r="B482">
        <v>2007</v>
      </c>
      <c r="C482" t="s">
        <v>76</v>
      </c>
      <c r="D482">
        <v>0.41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</v>
      </c>
    </row>
    <row r="489" spans="1:4" x14ac:dyDescent="0.45">
      <c r="A489" t="s">
        <v>34</v>
      </c>
      <c r="B489">
        <v>2008</v>
      </c>
      <c r="C489" t="s">
        <v>76</v>
      </c>
      <c r="D489">
        <v>0</v>
      </c>
    </row>
    <row r="490" spans="1:4" x14ac:dyDescent="0.45">
      <c r="A490" t="s">
        <v>36</v>
      </c>
      <c r="B490">
        <v>2008</v>
      </c>
      <c r="C490" t="s">
        <v>76</v>
      </c>
      <c r="D490">
        <v>0.2</v>
      </c>
    </row>
    <row r="491" spans="1:4" x14ac:dyDescent="0.45">
      <c r="A491" t="s">
        <v>56</v>
      </c>
      <c r="B491">
        <v>2008</v>
      </c>
      <c r="C491" t="s">
        <v>76</v>
      </c>
      <c r="D491">
        <v>0.38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</v>
      </c>
    </row>
    <row r="498" spans="1:4" x14ac:dyDescent="0.45">
      <c r="A498" t="s">
        <v>34</v>
      </c>
      <c r="B498">
        <v>2009</v>
      </c>
      <c r="C498" t="s">
        <v>76</v>
      </c>
      <c r="D498">
        <v>0</v>
      </c>
    </row>
    <row r="499" spans="1:4" x14ac:dyDescent="0.45">
      <c r="A499" t="s">
        <v>36</v>
      </c>
      <c r="B499">
        <v>2009</v>
      </c>
      <c r="C499" t="s">
        <v>76</v>
      </c>
      <c r="D499">
        <v>0.13</v>
      </c>
    </row>
    <row r="500" spans="1:4" x14ac:dyDescent="0.45">
      <c r="A500" t="s">
        <v>56</v>
      </c>
      <c r="B500">
        <v>2009</v>
      </c>
      <c r="C500" t="s">
        <v>76</v>
      </c>
      <c r="D500">
        <v>0.38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</v>
      </c>
    </row>
    <row r="507" spans="1:4" x14ac:dyDescent="0.45">
      <c r="A507" t="s">
        <v>34</v>
      </c>
      <c r="B507">
        <v>2010</v>
      </c>
      <c r="C507" t="s">
        <v>76</v>
      </c>
      <c r="D507">
        <v>0</v>
      </c>
    </row>
    <row r="508" spans="1:4" x14ac:dyDescent="0.45">
      <c r="A508" t="s">
        <v>36</v>
      </c>
      <c r="B508">
        <v>2010</v>
      </c>
      <c r="C508" t="s">
        <v>76</v>
      </c>
      <c r="D508">
        <v>0.02</v>
      </c>
    </row>
    <row r="509" spans="1:4" x14ac:dyDescent="0.45">
      <c r="A509" t="s">
        <v>56</v>
      </c>
      <c r="B509">
        <v>2010</v>
      </c>
      <c r="C509" t="s">
        <v>76</v>
      </c>
      <c r="D509">
        <v>0.39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</v>
      </c>
    </row>
    <row r="516" spans="1:4" x14ac:dyDescent="0.45">
      <c r="A516" t="s">
        <v>34</v>
      </c>
      <c r="B516">
        <v>2011</v>
      </c>
      <c r="C516" t="s">
        <v>76</v>
      </c>
      <c r="D516">
        <v>0</v>
      </c>
    </row>
    <row r="517" spans="1:4" x14ac:dyDescent="0.45">
      <c r="A517" t="s">
        <v>36</v>
      </c>
      <c r="B517">
        <v>2011</v>
      </c>
      <c r="C517" t="s">
        <v>76</v>
      </c>
      <c r="D517">
        <v>0.02</v>
      </c>
    </row>
    <row r="518" spans="1:4" x14ac:dyDescent="0.45">
      <c r="A518" t="s">
        <v>56</v>
      </c>
      <c r="B518">
        <v>2011</v>
      </c>
      <c r="C518" t="s">
        <v>76</v>
      </c>
      <c r="D518">
        <v>0.38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</v>
      </c>
    </row>
    <row r="525" spans="1:4" x14ac:dyDescent="0.45">
      <c r="A525" t="s">
        <v>34</v>
      </c>
      <c r="B525">
        <v>2012</v>
      </c>
      <c r="C525" t="s">
        <v>76</v>
      </c>
      <c r="D525">
        <v>0</v>
      </c>
    </row>
    <row r="526" spans="1:4" x14ac:dyDescent="0.45">
      <c r="A526" t="s">
        <v>36</v>
      </c>
      <c r="B526">
        <v>2012</v>
      </c>
      <c r="C526" t="s">
        <v>76</v>
      </c>
      <c r="D526">
        <v>0.04</v>
      </c>
    </row>
    <row r="527" spans="1:4" x14ac:dyDescent="0.45">
      <c r="A527" t="s">
        <v>56</v>
      </c>
      <c r="B527">
        <v>2012</v>
      </c>
      <c r="C527" t="s">
        <v>76</v>
      </c>
      <c r="D527">
        <v>0.4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</v>
      </c>
    </row>
    <row r="534" spans="1:4" x14ac:dyDescent="0.45">
      <c r="A534" t="s">
        <v>34</v>
      </c>
      <c r="B534">
        <v>2013</v>
      </c>
      <c r="C534" t="s">
        <v>76</v>
      </c>
      <c r="D534">
        <v>0.04</v>
      </c>
    </row>
    <row r="535" spans="1:4" x14ac:dyDescent="0.45">
      <c r="A535" t="s">
        <v>36</v>
      </c>
      <c r="B535">
        <v>2013</v>
      </c>
      <c r="C535" t="s">
        <v>76</v>
      </c>
      <c r="D535">
        <v>0</v>
      </c>
    </row>
    <row r="536" spans="1:4" x14ac:dyDescent="0.45">
      <c r="A536" t="s">
        <v>56</v>
      </c>
      <c r="B536">
        <v>2013</v>
      </c>
      <c r="C536" t="s">
        <v>76</v>
      </c>
      <c r="D536">
        <v>0.41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0.15</v>
      </c>
    </row>
    <row r="544" spans="1:4" x14ac:dyDescent="0.45">
      <c r="A544" t="s">
        <v>36</v>
      </c>
      <c r="B544">
        <v>2014</v>
      </c>
      <c r="C544" t="s">
        <v>76</v>
      </c>
      <c r="D544">
        <v>0</v>
      </c>
    </row>
    <row r="545" spans="1:4" x14ac:dyDescent="0.45">
      <c r="A545" t="s">
        <v>56</v>
      </c>
      <c r="B545">
        <v>2014</v>
      </c>
      <c r="C545" t="s">
        <v>76</v>
      </c>
      <c r="D545">
        <v>0.38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</v>
      </c>
    </row>
    <row r="552" spans="1:4" x14ac:dyDescent="0.45">
      <c r="A552" t="s">
        <v>34</v>
      </c>
      <c r="B552">
        <v>2015</v>
      </c>
      <c r="C552" t="s">
        <v>76</v>
      </c>
      <c r="D552">
        <v>0.15</v>
      </c>
    </row>
    <row r="553" spans="1:4" x14ac:dyDescent="0.45">
      <c r="A553" t="s">
        <v>36</v>
      </c>
      <c r="B553">
        <v>2015</v>
      </c>
      <c r="C553" t="s">
        <v>76</v>
      </c>
      <c r="D553">
        <v>0</v>
      </c>
    </row>
    <row r="554" spans="1:4" x14ac:dyDescent="0.45">
      <c r="A554" t="s">
        <v>56</v>
      </c>
      <c r="B554">
        <v>2015</v>
      </c>
      <c r="C554" t="s">
        <v>76</v>
      </c>
      <c r="D554">
        <v>0.4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</v>
      </c>
    </row>
    <row r="561" spans="1:4" x14ac:dyDescent="0.45">
      <c r="A561" t="s">
        <v>34</v>
      </c>
      <c r="B561">
        <v>2016</v>
      </c>
      <c r="C561" t="s">
        <v>76</v>
      </c>
      <c r="D561">
        <v>0.57999999999999996</v>
      </c>
    </row>
    <row r="562" spans="1:4" x14ac:dyDescent="0.45">
      <c r="A562" t="s">
        <v>36</v>
      </c>
      <c r="B562">
        <v>2016</v>
      </c>
      <c r="C562" t="s">
        <v>76</v>
      </c>
      <c r="D562">
        <v>0</v>
      </c>
    </row>
    <row r="563" spans="1:4" x14ac:dyDescent="0.45">
      <c r="A563" t="s">
        <v>56</v>
      </c>
      <c r="B563">
        <v>2016</v>
      </c>
      <c r="C563" t="s">
        <v>76</v>
      </c>
      <c r="D563">
        <v>0.4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</v>
      </c>
    </row>
    <row r="570" spans="1:4" x14ac:dyDescent="0.45">
      <c r="A570" t="s">
        <v>34</v>
      </c>
      <c r="B570">
        <v>2017</v>
      </c>
      <c r="C570" t="s">
        <v>76</v>
      </c>
      <c r="D570">
        <v>0.94</v>
      </c>
    </row>
    <row r="571" spans="1:4" x14ac:dyDescent="0.45">
      <c r="A571" t="s">
        <v>36</v>
      </c>
      <c r="B571">
        <v>2017</v>
      </c>
      <c r="C571" t="s">
        <v>76</v>
      </c>
      <c r="D571">
        <v>0</v>
      </c>
    </row>
    <row r="572" spans="1:4" x14ac:dyDescent="0.45">
      <c r="A572" t="s">
        <v>56</v>
      </c>
      <c r="B572">
        <v>2017</v>
      </c>
      <c r="C572" t="s">
        <v>76</v>
      </c>
      <c r="D572">
        <v>0.41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</v>
      </c>
    </row>
    <row r="579" spans="1:4" x14ac:dyDescent="0.45">
      <c r="A579" t="s">
        <v>34</v>
      </c>
      <c r="B579">
        <v>2018</v>
      </c>
      <c r="C579" t="s">
        <v>76</v>
      </c>
      <c r="D579">
        <v>1.29</v>
      </c>
    </row>
    <row r="580" spans="1:4" x14ac:dyDescent="0.45">
      <c r="A580" t="s">
        <v>36</v>
      </c>
      <c r="B580">
        <v>2018</v>
      </c>
      <c r="C580" t="s">
        <v>76</v>
      </c>
      <c r="D580">
        <v>0</v>
      </c>
    </row>
    <row r="581" spans="1:4" x14ac:dyDescent="0.45">
      <c r="A581" t="s">
        <v>56</v>
      </c>
      <c r="B581">
        <v>2018</v>
      </c>
      <c r="C581" t="s">
        <v>76</v>
      </c>
      <c r="D581">
        <v>0.44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</v>
      </c>
    </row>
    <row r="588" spans="1:4" x14ac:dyDescent="0.45">
      <c r="A588" t="s">
        <v>34</v>
      </c>
      <c r="B588">
        <v>2019</v>
      </c>
      <c r="C588" t="s">
        <v>76</v>
      </c>
      <c r="D588">
        <v>1.42</v>
      </c>
    </row>
    <row r="589" spans="1:4" x14ac:dyDescent="0.45">
      <c r="A589" t="s">
        <v>36</v>
      </c>
      <c r="B589">
        <v>2019</v>
      </c>
      <c r="C589" t="s">
        <v>76</v>
      </c>
      <c r="D589">
        <v>0.18</v>
      </c>
    </row>
    <row r="590" spans="1:4" x14ac:dyDescent="0.45">
      <c r="A590" t="s">
        <v>56</v>
      </c>
      <c r="B590">
        <v>2019</v>
      </c>
      <c r="C590" t="s">
        <v>76</v>
      </c>
      <c r="D590">
        <v>0.46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</v>
      </c>
    </row>
    <row r="597" spans="1:4" x14ac:dyDescent="0.45">
      <c r="A597" t="s">
        <v>34</v>
      </c>
      <c r="B597">
        <v>2020</v>
      </c>
      <c r="C597" t="s">
        <v>76</v>
      </c>
      <c r="D597">
        <v>1.59</v>
      </c>
    </row>
    <row r="598" spans="1:4" x14ac:dyDescent="0.45">
      <c r="A598" t="s">
        <v>36</v>
      </c>
      <c r="B598">
        <v>2020</v>
      </c>
      <c r="C598" t="s">
        <v>76</v>
      </c>
      <c r="D598">
        <v>0.19</v>
      </c>
    </row>
    <row r="599" spans="1:4" x14ac:dyDescent="0.45">
      <c r="A599" t="s">
        <v>56</v>
      </c>
      <c r="B599">
        <v>2020</v>
      </c>
      <c r="C599" t="s">
        <v>76</v>
      </c>
      <c r="D599">
        <v>0.43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1.67</v>
      </c>
    </row>
    <row r="607" spans="1:4" x14ac:dyDescent="0.45">
      <c r="A607" t="s">
        <v>36</v>
      </c>
      <c r="B607">
        <v>2021</v>
      </c>
      <c r="C607" t="s">
        <v>76</v>
      </c>
      <c r="D607">
        <v>0.18</v>
      </c>
    </row>
    <row r="608" spans="1:4" x14ac:dyDescent="0.45">
      <c r="A608" t="s">
        <v>56</v>
      </c>
      <c r="B608">
        <v>2021</v>
      </c>
      <c r="C608" t="s">
        <v>76</v>
      </c>
      <c r="D608">
        <v>0.44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</v>
      </c>
    </row>
    <row r="615" spans="1:4" x14ac:dyDescent="0.45">
      <c r="A615" t="s">
        <v>34</v>
      </c>
      <c r="B615">
        <v>2022</v>
      </c>
      <c r="C615" t="s">
        <v>76</v>
      </c>
      <c r="D615">
        <v>1.81</v>
      </c>
    </row>
    <row r="616" spans="1:4" x14ac:dyDescent="0.45">
      <c r="A616" t="s">
        <v>36</v>
      </c>
      <c r="B616">
        <v>2022</v>
      </c>
      <c r="C616" t="s">
        <v>76</v>
      </c>
      <c r="D616">
        <v>0.19</v>
      </c>
    </row>
    <row r="617" spans="1:4" x14ac:dyDescent="0.45">
      <c r="A617" t="s">
        <v>56</v>
      </c>
      <c r="B617">
        <v>2022</v>
      </c>
      <c r="C617" t="s">
        <v>76</v>
      </c>
      <c r="D617">
        <v>0.44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  <c r="D623">
        <v>3.9</v>
      </c>
    </row>
    <row r="624" spans="1:4" x14ac:dyDescent="0.45">
      <c r="A624" t="s">
        <v>60</v>
      </c>
      <c r="B624">
        <v>2000</v>
      </c>
      <c r="C624" t="s">
        <v>74</v>
      </c>
      <c r="D624">
        <v>5.2</v>
      </c>
    </row>
    <row r="625" spans="1:4" x14ac:dyDescent="0.45">
      <c r="A625" t="s">
        <v>59</v>
      </c>
      <c r="B625">
        <v>2001</v>
      </c>
      <c r="C625" t="s">
        <v>74</v>
      </c>
      <c r="D625">
        <v>4</v>
      </c>
    </row>
    <row r="626" spans="1:4" x14ac:dyDescent="0.45">
      <c r="A626" t="s">
        <v>60</v>
      </c>
      <c r="B626">
        <v>2001</v>
      </c>
      <c r="C626" t="s">
        <v>74</v>
      </c>
      <c r="D626">
        <v>5.4</v>
      </c>
    </row>
    <row r="627" spans="1:4" x14ac:dyDescent="0.45">
      <c r="A627" t="s">
        <v>59</v>
      </c>
      <c r="B627">
        <v>2002</v>
      </c>
      <c r="C627" t="s">
        <v>74</v>
      </c>
      <c r="D627">
        <v>3.9</v>
      </c>
    </row>
    <row r="628" spans="1:4" x14ac:dyDescent="0.45">
      <c r="A628" t="s">
        <v>60</v>
      </c>
      <c r="B628">
        <v>2002</v>
      </c>
      <c r="C628" t="s">
        <v>74</v>
      </c>
      <c r="D628">
        <v>4.7</v>
      </c>
    </row>
    <row r="629" spans="1:4" x14ac:dyDescent="0.45">
      <c r="A629" t="s">
        <v>59</v>
      </c>
      <c r="B629">
        <v>2003</v>
      </c>
      <c r="C629" t="s">
        <v>74</v>
      </c>
      <c r="D629">
        <v>4.5999999999999996</v>
      </c>
    </row>
    <row r="630" spans="1:4" x14ac:dyDescent="0.45">
      <c r="A630" t="s">
        <v>60</v>
      </c>
      <c r="B630">
        <v>2003</v>
      </c>
      <c r="C630" t="s">
        <v>74</v>
      </c>
      <c r="D630">
        <v>4.5999999999999996</v>
      </c>
    </row>
    <row r="631" spans="1:4" x14ac:dyDescent="0.45">
      <c r="A631" t="s">
        <v>59</v>
      </c>
      <c r="B631">
        <v>2004</v>
      </c>
      <c r="C631" t="s">
        <v>74</v>
      </c>
      <c r="D631">
        <v>4.5</v>
      </c>
    </row>
    <row r="632" spans="1:4" x14ac:dyDescent="0.45">
      <c r="A632" t="s">
        <v>60</v>
      </c>
      <c r="B632">
        <v>2004</v>
      </c>
      <c r="C632" t="s">
        <v>74</v>
      </c>
      <c r="D632">
        <v>4.8</v>
      </c>
    </row>
    <row r="633" spans="1:4" x14ac:dyDescent="0.45">
      <c r="A633" t="s">
        <v>59</v>
      </c>
      <c r="B633">
        <v>2005</v>
      </c>
      <c r="C633" t="s">
        <v>74</v>
      </c>
      <c r="D633">
        <v>4.3</v>
      </c>
    </row>
    <row r="634" spans="1:4" x14ac:dyDescent="0.45">
      <c r="A634" t="s">
        <v>60</v>
      </c>
      <c r="B634">
        <v>2005</v>
      </c>
      <c r="C634" t="s">
        <v>74</v>
      </c>
      <c r="D634">
        <v>4.5</v>
      </c>
    </row>
    <row r="635" spans="1:4" x14ac:dyDescent="0.45">
      <c r="A635" t="s">
        <v>59</v>
      </c>
      <c r="B635">
        <v>2006</v>
      </c>
      <c r="C635" t="s">
        <v>74</v>
      </c>
      <c r="D635">
        <v>4.2</v>
      </c>
    </row>
    <row r="636" spans="1:4" x14ac:dyDescent="0.45">
      <c r="A636" t="s">
        <v>60</v>
      </c>
      <c r="B636">
        <v>2006</v>
      </c>
      <c r="C636" t="s">
        <v>74</v>
      </c>
      <c r="D636">
        <v>4.8</v>
      </c>
    </row>
    <row r="637" spans="1:4" x14ac:dyDescent="0.45">
      <c r="A637" t="s">
        <v>59</v>
      </c>
      <c r="B637">
        <v>2007</v>
      </c>
      <c r="C637" t="s">
        <v>74</v>
      </c>
      <c r="D637">
        <v>4.3</v>
      </c>
    </row>
    <row r="638" spans="1:4" x14ac:dyDescent="0.45">
      <c r="A638" t="s">
        <v>60</v>
      </c>
      <c r="B638">
        <v>2007</v>
      </c>
      <c r="C638" t="s">
        <v>74</v>
      </c>
      <c r="D638">
        <v>4.4000000000000004</v>
      </c>
    </row>
    <row r="639" spans="1:4" x14ac:dyDescent="0.45">
      <c r="A639" t="s">
        <v>59</v>
      </c>
      <c r="B639">
        <v>2008</v>
      </c>
      <c r="C639" t="s">
        <v>74</v>
      </c>
      <c r="D639">
        <v>4.4000000000000004</v>
      </c>
    </row>
    <row r="640" spans="1:4" x14ac:dyDescent="0.45">
      <c r="A640" t="s">
        <v>60</v>
      </c>
      <c r="B640">
        <v>2008</v>
      </c>
      <c r="C640" t="s">
        <v>74</v>
      </c>
      <c r="D640">
        <v>5.3</v>
      </c>
    </row>
    <row r="641" spans="1:4" x14ac:dyDescent="0.45">
      <c r="A641" t="s">
        <v>59</v>
      </c>
      <c r="B641">
        <v>2009</v>
      </c>
      <c r="C641" t="s">
        <v>74</v>
      </c>
      <c r="D641">
        <v>4.2</v>
      </c>
    </row>
    <row r="642" spans="1:4" x14ac:dyDescent="0.45">
      <c r="A642" t="s">
        <v>60</v>
      </c>
      <c r="B642">
        <v>2009</v>
      </c>
      <c r="C642" t="s">
        <v>74</v>
      </c>
      <c r="D642">
        <v>4.3</v>
      </c>
    </row>
    <row r="643" spans="1:4" x14ac:dyDescent="0.45">
      <c r="A643" t="s">
        <v>59</v>
      </c>
      <c r="B643">
        <v>2010</v>
      </c>
      <c r="C643" t="s">
        <v>74</v>
      </c>
      <c r="D643">
        <v>0.3</v>
      </c>
    </row>
    <row r="644" spans="1:4" x14ac:dyDescent="0.45">
      <c r="A644" t="s">
        <v>60</v>
      </c>
      <c r="B644">
        <v>2010</v>
      </c>
      <c r="C644" t="s">
        <v>74</v>
      </c>
      <c r="D644">
        <v>0.4</v>
      </c>
    </row>
    <row r="645" spans="1:4" x14ac:dyDescent="0.45">
      <c r="A645" t="s">
        <v>59</v>
      </c>
      <c r="B645">
        <v>2011</v>
      </c>
      <c r="C645" t="s">
        <v>74</v>
      </c>
      <c r="D645">
        <v>0.2</v>
      </c>
    </row>
    <row r="646" spans="1:4" x14ac:dyDescent="0.45">
      <c r="A646" t="s">
        <v>60</v>
      </c>
      <c r="B646">
        <v>2011</v>
      </c>
      <c r="C646" t="s">
        <v>74</v>
      </c>
      <c r="D646">
        <v>0.2</v>
      </c>
    </row>
    <row r="647" spans="1:4" x14ac:dyDescent="0.45">
      <c r="A647" t="s">
        <v>59</v>
      </c>
      <c r="B647">
        <v>2012</v>
      </c>
      <c r="C647" t="s">
        <v>74</v>
      </c>
      <c r="D647">
        <v>0.8</v>
      </c>
    </row>
    <row r="648" spans="1:4" x14ac:dyDescent="0.45">
      <c r="A648" t="s">
        <v>60</v>
      </c>
      <c r="B648">
        <v>2012</v>
      </c>
      <c r="C648" t="s">
        <v>74</v>
      </c>
      <c r="D648">
        <v>0.1</v>
      </c>
    </row>
    <row r="649" spans="1:4" x14ac:dyDescent="0.45">
      <c r="A649" t="s">
        <v>59</v>
      </c>
      <c r="B649">
        <v>2013</v>
      </c>
      <c r="C649" t="s">
        <v>74</v>
      </c>
      <c r="D649">
        <v>1.1000000000000001</v>
      </c>
    </row>
    <row r="650" spans="1:4" x14ac:dyDescent="0.45">
      <c r="A650" t="s">
        <v>60</v>
      </c>
      <c r="B650">
        <v>2013</v>
      </c>
      <c r="C650" t="s">
        <v>74</v>
      </c>
      <c r="D650">
        <v>0.1</v>
      </c>
    </row>
    <row r="651" spans="1:4" x14ac:dyDescent="0.45">
      <c r="A651" t="s">
        <v>59</v>
      </c>
      <c r="B651">
        <v>2014</v>
      </c>
      <c r="C651" t="s">
        <v>74</v>
      </c>
      <c r="D651">
        <v>1.4</v>
      </c>
    </row>
    <row r="652" spans="1:4" x14ac:dyDescent="0.45">
      <c r="A652" t="s">
        <v>60</v>
      </c>
      <c r="B652">
        <v>2014</v>
      </c>
      <c r="C652" t="s">
        <v>74</v>
      </c>
      <c r="D652">
        <v>0</v>
      </c>
    </row>
    <row r="653" spans="1:4" x14ac:dyDescent="0.45">
      <c r="A653" t="s">
        <v>59</v>
      </c>
      <c r="B653">
        <v>2015</v>
      </c>
      <c r="C653" t="s">
        <v>74</v>
      </c>
      <c r="D653">
        <v>1.4</v>
      </c>
    </row>
    <row r="654" spans="1:4" x14ac:dyDescent="0.45">
      <c r="A654" t="s">
        <v>60</v>
      </c>
      <c r="B654">
        <v>2015</v>
      </c>
      <c r="C654" t="s">
        <v>74</v>
      </c>
      <c r="D654">
        <v>0.1</v>
      </c>
    </row>
    <row r="655" spans="1:4" x14ac:dyDescent="0.45">
      <c r="A655" t="s">
        <v>59</v>
      </c>
      <c r="B655">
        <v>2016</v>
      </c>
      <c r="C655" t="s">
        <v>74</v>
      </c>
      <c r="D655">
        <v>1.4</v>
      </c>
    </row>
    <row r="656" spans="1:4" x14ac:dyDescent="0.45">
      <c r="A656" t="s">
        <v>60</v>
      </c>
      <c r="B656">
        <v>2016</v>
      </c>
      <c r="C656" t="s">
        <v>74</v>
      </c>
      <c r="D656">
        <v>0.1</v>
      </c>
    </row>
    <row r="657" spans="1:4" x14ac:dyDescent="0.45">
      <c r="A657" t="s">
        <v>59</v>
      </c>
      <c r="B657">
        <v>2017</v>
      </c>
      <c r="C657" t="s">
        <v>74</v>
      </c>
      <c r="D657">
        <v>1.4</v>
      </c>
    </row>
    <row r="658" spans="1:4" x14ac:dyDescent="0.45">
      <c r="A658" t="s">
        <v>60</v>
      </c>
      <c r="B658">
        <v>2017</v>
      </c>
      <c r="C658" t="s">
        <v>74</v>
      </c>
      <c r="D658">
        <v>0.1</v>
      </c>
    </row>
    <row r="659" spans="1:4" x14ac:dyDescent="0.45">
      <c r="A659" t="s">
        <v>59</v>
      </c>
      <c r="B659">
        <v>2018</v>
      </c>
      <c r="C659" t="s">
        <v>74</v>
      </c>
      <c r="D659">
        <v>2.9</v>
      </c>
    </row>
    <row r="660" spans="1:4" x14ac:dyDescent="0.45">
      <c r="A660" t="s">
        <v>60</v>
      </c>
      <c r="B660">
        <v>2018</v>
      </c>
      <c r="C660" t="s">
        <v>74</v>
      </c>
      <c r="D660">
        <v>0.6</v>
      </c>
    </row>
    <row r="661" spans="1:4" x14ac:dyDescent="0.45">
      <c r="A661" t="s">
        <v>59</v>
      </c>
      <c r="B661">
        <v>2019</v>
      </c>
      <c r="C661" t="s">
        <v>74</v>
      </c>
      <c r="D661">
        <v>3.2</v>
      </c>
    </row>
    <row r="662" spans="1:4" x14ac:dyDescent="0.45">
      <c r="A662" t="s">
        <v>60</v>
      </c>
      <c r="B662">
        <v>2019</v>
      </c>
      <c r="C662" t="s">
        <v>74</v>
      </c>
      <c r="D662">
        <v>0.3</v>
      </c>
    </row>
    <row r="663" spans="1:4" x14ac:dyDescent="0.45">
      <c r="A663" t="s">
        <v>59</v>
      </c>
      <c r="B663">
        <v>2020</v>
      </c>
      <c r="C663" t="s">
        <v>74</v>
      </c>
      <c r="D663">
        <v>1.9</v>
      </c>
    </row>
    <row r="664" spans="1:4" x14ac:dyDescent="0.45">
      <c r="A664" t="s">
        <v>60</v>
      </c>
      <c r="B664">
        <v>2020</v>
      </c>
      <c r="C664" t="s">
        <v>74</v>
      </c>
      <c r="D664">
        <v>0.4</v>
      </c>
    </row>
    <row r="665" spans="1:4" x14ac:dyDescent="0.45">
      <c r="A665" t="s">
        <v>59</v>
      </c>
      <c r="B665">
        <v>2021</v>
      </c>
      <c r="C665" t="s">
        <v>74</v>
      </c>
      <c r="D665">
        <v>3.3</v>
      </c>
    </row>
    <row r="666" spans="1:4" x14ac:dyDescent="0.45">
      <c r="A666" t="s">
        <v>60</v>
      </c>
      <c r="B666">
        <v>2021</v>
      </c>
      <c r="C666" t="s">
        <v>74</v>
      </c>
      <c r="D666">
        <v>0.9</v>
      </c>
    </row>
    <row r="667" spans="1:4" x14ac:dyDescent="0.45">
      <c r="A667" t="s">
        <v>59</v>
      </c>
      <c r="B667">
        <v>2022</v>
      </c>
      <c r="C667" t="s">
        <v>74</v>
      </c>
      <c r="D667">
        <v>3.3</v>
      </c>
    </row>
    <row r="668" spans="1:4" x14ac:dyDescent="0.45">
      <c r="A668" t="s">
        <v>60</v>
      </c>
      <c r="B668">
        <v>2022</v>
      </c>
      <c r="C668" t="s">
        <v>74</v>
      </c>
      <c r="D668">
        <v>0.8</v>
      </c>
    </row>
    <row r="669" spans="1:4" x14ac:dyDescent="0.45">
      <c r="A669" t="s">
        <v>59</v>
      </c>
      <c r="B669">
        <v>2023</v>
      </c>
      <c r="C669" t="s">
        <v>74</v>
      </c>
      <c r="D669">
        <v>3.5</v>
      </c>
    </row>
    <row r="670" spans="1:4" x14ac:dyDescent="0.45">
      <c r="A670" t="s">
        <v>60</v>
      </c>
      <c r="B670">
        <v>2023</v>
      </c>
      <c r="C670" t="s">
        <v>74</v>
      </c>
      <c r="D670">
        <v>0.9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0.11279999999999998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0.12219999999999999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1.8800000000000001E-2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5.5000000000000005E-3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2.2000000000000002E-2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3.2999999999999995E-2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6.5999999999999989E-2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0.13199999999999998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0.18149999999999999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0.22550000000000001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0.31019999999999998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0.25380000000000003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0.12219999999999999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9.4000000000000004E-3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9.4000000000000004E-3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3.2999999999999995E-2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6.5999999999999989E-2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0.13750000000000001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0.28599999999999998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0.39050000000000001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0.47849999999999998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0.76449999999999996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0.32900000000000001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0.27259999999999995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2.75E-2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5.5E-2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0.11549999999999999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3.85E-2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5.5E-2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6.0500000000000005E-2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6.0500000000000005E-2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0.16919999999999999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0.12219999999999999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0.10340000000000001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3.7600000000000001E-2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9.4000000000000004E-3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9.4000000000000004E-3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1.1000000000000001E-2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2.75E-2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6.0500000000000005E-2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0.11549999999999999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0.18149999999999999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0.27500000000000002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0.34650000000000003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0.68620000000000003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0.64859999999999995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1.8800000000000001E-2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5.5E-2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0.13199999999999998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0.1045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4.4000000000000004E-2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9.8999999999999991E-2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0.1265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0.12100000000000001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0.2162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0.22559999999999997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0.15040000000000001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9.4E-2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2.8199999999999996E-2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9.4000000000000004E-3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9.4000000000000004E-3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1.6499999999999997E-2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4.4000000000000004E-2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9.35E-2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0.20350000000000001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0.29700000000000004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0.43450000000000005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0.74249999999999994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0.16919999999999999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0.16919999999999999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1.1000000000000001E-2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3.2999999999999995E-2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4.9499999999999995E-2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2.2000000000000002E-2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5.5E-2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5.2197499999999994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6.0416000000000007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7.4811999999999994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9.7433499999999995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11.670549999999999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14.248250000000001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18.437150000000003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15.617049999999999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12.4794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10.49225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8.1423000000000005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6.0792999999999999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4.0415999999999999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4.3623500000000002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4.7269500000000004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3.6239999999999997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2.5051500000000004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3.9257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5.6907499999999995</v>
      </c>
      <c r="K167" t="s">
        <v>51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7.2449500000000002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9.9616000000000007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12.33135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14.9617</v>
      </c>
      <c r="K171" t="s">
        <v>51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19.2057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16.228450000000002</v>
      </c>
      <c r="K173" t="s">
        <v>51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12.71425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10.5779</v>
      </c>
      <c r="K175" t="s">
        <v>51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8.0779999999999994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5.7698499999999999</v>
      </c>
      <c r="K177" t="s">
        <v>51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3.4786999999999999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2.9973999999999998</v>
      </c>
      <c r="K179" t="s">
        <v>51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2.5603500000000001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2.0332499999999998</v>
      </c>
      <c r="K181" t="s">
        <v>51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1.48695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5.5695499999999996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1.6815500000000001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1.54745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1.4253499999999999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1.17E-2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1.3049999999999999E-2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1.2750000000000001E-2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1.44E-2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1.755E-2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2.2350000000000002E-2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2.9149999999999999E-2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3.7100000000000001E-2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4.9000000000000002E-2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5.8950000000000002E-2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6.989999999999999E-2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8.0250000000000002E-2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9.0999999999999998E-2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9.9900000000000003E-2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0.10925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0.1191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0.12859999999999999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1.5349999999999999E-2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1.6E-2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1.5949999999999999E-2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0.02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2.7449999999999999E-2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3.7949999999999998E-2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5.0650000000000001E-2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6.5950000000000009E-2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7.7899999999999997E-2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0.09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0.10275000000000001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0.1082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0.11269999999999999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0.11465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0.11615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0.12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0.12229999999999999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5.0000000000000001E-4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6.9999999999999999E-4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1.4499999999999999E-3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2.3499999999999997E-3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3.3E-3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4.7499999999999999E-3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7.1999999999999998E-3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9.6499999999999989E-3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1.18E-2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1.43E-2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1.7049999999999999E-2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1.95E-2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2.2199999999999998E-2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2.47E-2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2.7200000000000002E-2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3.075E-2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3.4099999999999998E-2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4.78505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2.9999999999999997E-4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1.4E-3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4.15E-3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8.4499999999999992E-3</v>
      </c>
      <c r="K288" t="s">
        <v>85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1.345E-2</v>
      </c>
      <c r="K289" t="s">
        <v>85</v>
      </c>
    </row>
    <row r="290" spans="1:11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1.9299999999999998E-2</v>
      </c>
      <c r="K290" t="s">
        <v>85</v>
      </c>
    </row>
    <row r="291" spans="1:11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2.64E-2</v>
      </c>
      <c r="K291" t="s">
        <v>85</v>
      </c>
    </row>
    <row r="292" spans="1:11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2.9249999999999998E-2</v>
      </c>
      <c r="K292" t="s">
        <v>85</v>
      </c>
    </row>
    <row r="293" spans="1:11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4.2300000000000004E-2</v>
      </c>
      <c r="K293" t="s">
        <v>85</v>
      </c>
    </row>
    <row r="294" spans="1:11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4.7500000000000001E-2</v>
      </c>
      <c r="K294" t="s">
        <v>85</v>
      </c>
    </row>
    <row r="295" spans="1:11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4.8049999999999995E-2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5.1000000000000004E-2</v>
      </c>
      <c r="K296" t="s">
        <v>85</v>
      </c>
    </row>
    <row r="297" spans="1:11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4.8149999999999998E-2</v>
      </c>
      <c r="K297" t="s">
        <v>85</v>
      </c>
    </row>
    <row r="298" spans="1:11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4.6199999999999998E-2</v>
      </c>
      <c r="K298" t="s">
        <v>85</v>
      </c>
    </row>
    <row r="299" spans="1:11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4.2700000000000002E-2</v>
      </c>
      <c r="K299" t="s">
        <v>85</v>
      </c>
    </row>
    <row r="300" spans="1:11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3.8849999999999996E-2</v>
      </c>
      <c r="K300" t="s">
        <v>85</v>
      </c>
    </row>
    <row r="301" spans="1:11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3.4450000000000001E-2</v>
      </c>
      <c r="K301" t="s">
        <v>85</v>
      </c>
    </row>
    <row r="302" spans="1:11" x14ac:dyDescent="0.45">
      <c r="A302" t="s">
        <v>90</v>
      </c>
      <c r="B302" t="s">
        <v>3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2020</v>
      </c>
      <c r="J302">
        <v>0</v>
      </c>
      <c r="K302" t="s">
        <v>45</v>
      </c>
    </row>
    <row r="303" spans="1:11" x14ac:dyDescent="0.45">
      <c r="A303" t="s">
        <v>90</v>
      </c>
      <c r="B303" t="s">
        <v>3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</v>
      </c>
      <c r="K303" t="s">
        <v>45</v>
      </c>
    </row>
    <row r="304" spans="1:11" x14ac:dyDescent="0.45">
      <c r="A304" t="s">
        <v>90</v>
      </c>
      <c r="B304" t="s">
        <v>3</v>
      </c>
      <c r="C304" t="s">
        <v>84</v>
      </c>
      <c r="D304" t="s">
        <v>45</v>
      </c>
      <c r="E304" t="s">
        <v>46</v>
      </c>
      <c r="F304" t="s">
        <v>45</v>
      </c>
      <c r="G304" t="s">
        <v>47</v>
      </c>
      <c r="H304" t="s">
        <v>89</v>
      </c>
      <c r="I304">
        <v>2030</v>
      </c>
      <c r="J304">
        <v>0.13250000000000001</v>
      </c>
      <c r="K304" t="s">
        <v>45</v>
      </c>
    </row>
    <row r="305" spans="1:12" x14ac:dyDescent="0.45">
      <c r="A305" t="s">
        <v>90</v>
      </c>
      <c r="B305" t="s">
        <v>3</v>
      </c>
      <c r="C305" t="s">
        <v>84</v>
      </c>
      <c r="D305" t="s">
        <v>45</v>
      </c>
      <c r="E305" t="s">
        <v>46</v>
      </c>
      <c r="F305" t="s">
        <v>45</v>
      </c>
      <c r="G305" t="s">
        <v>47</v>
      </c>
      <c r="H305" t="s">
        <v>89</v>
      </c>
      <c r="I305">
        <v>2035</v>
      </c>
      <c r="J305">
        <v>0.70065</v>
      </c>
      <c r="K305" t="s">
        <v>45</v>
      </c>
    </row>
    <row r="306" spans="1:12" x14ac:dyDescent="0.45">
      <c r="A306" t="s">
        <v>90</v>
      </c>
      <c r="B306" t="s">
        <v>3</v>
      </c>
      <c r="C306" t="s">
        <v>84</v>
      </c>
      <c r="D306" t="s">
        <v>45</v>
      </c>
      <c r="E306" t="s">
        <v>46</v>
      </c>
      <c r="F306" t="s">
        <v>45</v>
      </c>
      <c r="G306" t="s">
        <v>47</v>
      </c>
      <c r="H306" t="s">
        <v>89</v>
      </c>
      <c r="I306">
        <v>2040</v>
      </c>
      <c r="J306">
        <v>2.1023000000000001</v>
      </c>
      <c r="K306" t="s">
        <v>45</v>
      </c>
    </row>
    <row r="307" spans="1:12" x14ac:dyDescent="0.45">
      <c r="A307" t="s">
        <v>90</v>
      </c>
      <c r="B307" t="s">
        <v>3</v>
      </c>
      <c r="C307" t="s">
        <v>84</v>
      </c>
      <c r="D307" t="s">
        <v>45</v>
      </c>
      <c r="E307" t="s">
        <v>46</v>
      </c>
      <c r="F307" t="s">
        <v>45</v>
      </c>
      <c r="G307" t="s">
        <v>47</v>
      </c>
      <c r="H307" t="s">
        <v>89</v>
      </c>
      <c r="I307">
        <v>2045</v>
      </c>
      <c r="J307">
        <v>5.0650999999999993</v>
      </c>
      <c r="K307" t="s">
        <v>45</v>
      </c>
    </row>
    <row r="308" spans="1:12" x14ac:dyDescent="0.45">
      <c r="A308" t="s">
        <v>90</v>
      </c>
      <c r="B308" t="s">
        <v>3</v>
      </c>
      <c r="C308" t="s">
        <v>84</v>
      </c>
      <c r="D308" t="s">
        <v>45</v>
      </c>
      <c r="E308" t="s">
        <v>46</v>
      </c>
      <c r="F308" t="s">
        <v>45</v>
      </c>
      <c r="G308" t="s">
        <v>47</v>
      </c>
      <c r="H308" t="s">
        <v>89</v>
      </c>
      <c r="I308">
        <v>2050</v>
      </c>
      <c r="J308">
        <v>8.5510999999999999</v>
      </c>
      <c r="K308" t="s">
        <v>45</v>
      </c>
    </row>
    <row r="309" spans="1:12" x14ac:dyDescent="0.45">
      <c r="A309" t="s">
        <v>90</v>
      </c>
      <c r="B309" t="s">
        <v>3</v>
      </c>
      <c r="C309" t="s">
        <v>84</v>
      </c>
      <c r="D309" t="s">
        <v>45</v>
      </c>
      <c r="E309" t="s">
        <v>46</v>
      </c>
      <c r="F309" t="s">
        <v>45</v>
      </c>
      <c r="G309" t="s">
        <v>47</v>
      </c>
      <c r="H309" t="s">
        <v>89</v>
      </c>
      <c r="I309">
        <v>2055</v>
      </c>
      <c r="J309">
        <v>9.8981999999999992</v>
      </c>
      <c r="K309" t="s">
        <v>45</v>
      </c>
    </row>
    <row r="310" spans="1:12" x14ac:dyDescent="0.45">
      <c r="A310" t="s">
        <v>90</v>
      </c>
      <c r="B310" t="s">
        <v>3</v>
      </c>
      <c r="C310" t="s">
        <v>84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2060</v>
      </c>
      <c r="J310">
        <v>7.8199499999999995</v>
      </c>
      <c r="K310" t="s">
        <v>45</v>
      </c>
    </row>
    <row r="311" spans="1:12" x14ac:dyDescent="0.45">
      <c r="A311" t="s">
        <v>90</v>
      </c>
      <c r="B311" t="s">
        <v>3</v>
      </c>
      <c r="C311" t="s">
        <v>84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2065</v>
      </c>
      <c r="J311">
        <v>6.3666499999999999</v>
      </c>
      <c r="K311" t="s">
        <v>45</v>
      </c>
    </row>
    <row r="312" spans="1:12" x14ac:dyDescent="0.45">
      <c r="A312" t="s">
        <v>90</v>
      </c>
      <c r="B312" t="s">
        <v>3</v>
      </c>
      <c r="C312" t="s">
        <v>84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2070</v>
      </c>
      <c r="J312">
        <v>4.8231999999999999</v>
      </c>
      <c r="K312" t="s">
        <v>45</v>
      </c>
    </row>
    <row r="313" spans="1:12" x14ac:dyDescent="0.45">
      <c r="A313" t="s">
        <v>90</v>
      </c>
      <c r="B313" t="s">
        <v>3</v>
      </c>
      <c r="C313" t="s">
        <v>84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2075</v>
      </c>
      <c r="J313">
        <v>3.4128499999999997</v>
      </c>
      <c r="K313" t="s">
        <v>45</v>
      </c>
    </row>
    <row r="314" spans="1:12" x14ac:dyDescent="0.45">
      <c r="A314" t="s">
        <v>90</v>
      </c>
      <c r="B314" t="s">
        <v>3</v>
      </c>
      <c r="C314" t="s">
        <v>84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2080</v>
      </c>
      <c r="J314">
        <v>1.9933000000000001</v>
      </c>
      <c r="K314" t="s">
        <v>45</v>
      </c>
    </row>
    <row r="315" spans="1:12" x14ac:dyDescent="0.45">
      <c r="A315" t="s">
        <v>90</v>
      </c>
      <c r="B315" t="s">
        <v>3</v>
      </c>
      <c r="C315" t="s">
        <v>84</v>
      </c>
      <c r="D315" t="s">
        <v>45</v>
      </c>
      <c r="E315" t="s">
        <v>46</v>
      </c>
      <c r="F315" t="s">
        <v>45</v>
      </c>
      <c r="G315" t="s">
        <v>47</v>
      </c>
      <c r="H315" t="s">
        <v>89</v>
      </c>
      <c r="I315">
        <v>2085</v>
      </c>
      <c r="J315">
        <v>1.27915</v>
      </c>
      <c r="K315" t="s">
        <v>45</v>
      </c>
    </row>
    <row r="316" spans="1:12" x14ac:dyDescent="0.45">
      <c r="A316" t="s">
        <v>90</v>
      </c>
      <c r="B316" t="s">
        <v>3</v>
      </c>
      <c r="C316" t="s">
        <v>84</v>
      </c>
      <c r="D316" t="s">
        <v>45</v>
      </c>
      <c r="E316" t="s">
        <v>46</v>
      </c>
      <c r="F316" t="s">
        <v>45</v>
      </c>
      <c r="G316" t="s">
        <v>47</v>
      </c>
      <c r="H316" t="s">
        <v>89</v>
      </c>
      <c r="I316">
        <v>2090</v>
      </c>
      <c r="J316">
        <v>0.54469999999999996</v>
      </c>
      <c r="K316" t="s">
        <v>45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2095</v>
      </c>
      <c r="J317">
        <v>0.36209999999999998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45</v>
      </c>
      <c r="E318" t="s">
        <v>46</v>
      </c>
      <c r="F318" t="s">
        <v>45</v>
      </c>
      <c r="G318" t="s">
        <v>47</v>
      </c>
      <c r="H318" t="s">
        <v>89</v>
      </c>
      <c r="I318">
        <v>2100</v>
      </c>
      <c r="J318">
        <v>0.16894999999999999</v>
      </c>
      <c r="K318" t="s">
        <v>45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1.8E-3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1.2999999999999999E-3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6.9999999999999999E-4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4.0000000000000002E-4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2.9999999999999997E-4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1E-4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4.0000000000000002E-4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6.9999999999999999E-4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1E-3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1.6000000000000001E-3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2E-3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1.6999999999999999E-3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5.0000000000000001E-4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4.0000000000000002E-4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4.0000000000000002E-4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4.0000000000000002E-4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4.0000000000000002E-4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3.5E-4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2.5000000000000001E-4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2.0000000000000001E-4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1E-4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5.0000000000000002E-5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0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0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0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56.074300000000001</v>
      </c>
      <c r="K370" t="s">
        <v>37</v>
      </c>
    </row>
    <row r="371" spans="1:12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60.457900000000002</v>
      </c>
      <c r="K371" t="s">
        <v>37</v>
      </c>
    </row>
    <row r="372" spans="1:12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73.971049999999991</v>
      </c>
      <c r="K372" t="s">
        <v>37</v>
      </c>
    </row>
    <row r="373" spans="1:12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79.281800000000004</v>
      </c>
      <c r="K373" t="s">
        <v>37</v>
      </c>
    </row>
    <row r="374" spans="1:12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84.577799999999996</v>
      </c>
      <c r="K374" t="s">
        <v>37</v>
      </c>
    </row>
    <row r="375" spans="1:12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86.2911</v>
      </c>
      <c r="K375" t="s">
        <v>37</v>
      </c>
    </row>
    <row r="376" spans="1:12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99.790750000000003</v>
      </c>
      <c r="K376" t="s">
        <v>37</v>
      </c>
    </row>
    <row r="377" spans="1:12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112.93780000000001</v>
      </c>
      <c r="K377" t="s">
        <v>37</v>
      </c>
    </row>
    <row r="378" spans="1:12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181.17149999999998</v>
      </c>
      <c r="K378" t="s">
        <v>37</v>
      </c>
    </row>
    <row r="379" spans="1:12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214.42660000000001</v>
      </c>
      <c r="K379" t="s">
        <v>37</v>
      </c>
    </row>
    <row r="380" spans="1:12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247.68164999999999</v>
      </c>
      <c r="K380" t="s">
        <v>37</v>
      </c>
    </row>
    <row r="381" spans="1:12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272.42205000000001</v>
      </c>
      <c r="K381" t="s">
        <v>37</v>
      </c>
    </row>
    <row r="382" spans="1:12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297.16245000000004</v>
      </c>
      <c r="K382" t="s">
        <v>37</v>
      </c>
    </row>
    <row r="383" spans="1:12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319.67755</v>
      </c>
      <c r="K383" t="s">
        <v>37</v>
      </c>
    </row>
    <row r="384" spans="1:12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342.19264999999996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379.01010000000002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415.82745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5.3072499999999998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2025</v>
      </c>
      <c r="J388">
        <v>5.9376499999999997</v>
      </c>
      <c r="K388" t="s">
        <v>48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2030</v>
      </c>
      <c r="J389">
        <v>7.8449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48</v>
      </c>
      <c r="E390" t="s">
        <v>46</v>
      </c>
      <c r="F390" t="s">
        <v>48</v>
      </c>
      <c r="G390" t="s">
        <v>49</v>
      </c>
      <c r="H390" t="s">
        <v>50</v>
      </c>
      <c r="I390">
        <v>2035</v>
      </c>
      <c r="J390">
        <v>10.50235</v>
      </c>
      <c r="K390" t="s">
        <v>48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2040</v>
      </c>
      <c r="J391">
        <v>14.656700000000001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48</v>
      </c>
      <c r="E392" t="s">
        <v>46</v>
      </c>
      <c r="F392" t="s">
        <v>48</v>
      </c>
      <c r="G392" t="s">
        <v>49</v>
      </c>
      <c r="H392" t="s">
        <v>50</v>
      </c>
      <c r="I392">
        <v>2045</v>
      </c>
      <c r="J392">
        <v>22.234000000000002</v>
      </c>
      <c r="K392" t="s">
        <v>48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2050</v>
      </c>
      <c r="J393">
        <v>37.602999999999994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48</v>
      </c>
      <c r="E394" t="s">
        <v>46</v>
      </c>
      <c r="F394" t="s">
        <v>48</v>
      </c>
      <c r="G394" t="s">
        <v>49</v>
      </c>
      <c r="H394" t="s">
        <v>50</v>
      </c>
      <c r="I394">
        <v>2055</v>
      </c>
      <c r="J394">
        <v>44.72175</v>
      </c>
      <c r="K394" t="s">
        <v>48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2060</v>
      </c>
      <c r="J395">
        <v>54.222450000000002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48</v>
      </c>
      <c r="E396" t="s">
        <v>46</v>
      </c>
      <c r="F396" t="s">
        <v>48</v>
      </c>
      <c r="G396" t="s">
        <v>49</v>
      </c>
      <c r="H396" t="s">
        <v>50</v>
      </c>
      <c r="I396">
        <v>2065</v>
      </c>
      <c r="J396">
        <v>58.110699999999994</v>
      </c>
      <c r="K396" t="s">
        <v>48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2070</v>
      </c>
      <c r="J397">
        <v>61.777249999999995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48</v>
      </c>
      <c r="E398" t="s">
        <v>46</v>
      </c>
      <c r="F398" t="s">
        <v>48</v>
      </c>
      <c r="G398" t="s">
        <v>49</v>
      </c>
      <c r="H398" t="s">
        <v>50</v>
      </c>
      <c r="I398">
        <v>2075</v>
      </c>
      <c r="J398">
        <v>63.859949999999998</v>
      </c>
      <c r="K398" t="s">
        <v>48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2080</v>
      </c>
      <c r="J399">
        <v>65.978800000000007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48</v>
      </c>
      <c r="E400" t="s">
        <v>46</v>
      </c>
      <c r="F400" t="s">
        <v>48</v>
      </c>
      <c r="G400" t="s">
        <v>49</v>
      </c>
      <c r="H400" t="s">
        <v>50</v>
      </c>
      <c r="I400">
        <v>2085</v>
      </c>
      <c r="J400">
        <v>64.795199999999994</v>
      </c>
      <c r="K400" t="s">
        <v>48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2090</v>
      </c>
      <c r="J401">
        <v>63.290400000000005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2095</v>
      </c>
      <c r="J402">
        <v>56.057549999999999</v>
      </c>
      <c r="K402" t="s">
        <v>48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2100</v>
      </c>
      <c r="J403">
        <v>48.889400000000002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4.0350000000000001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5.7070999999999996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7.7919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11.0063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15.727350000000001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23.380499999999998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38.837350000000001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45.76755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55.10125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58.9358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62.551549999999999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64.575400000000002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66.635549999999995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64.718099999999993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62.483000000000004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55.717399999999998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49.019100000000002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2.2217500000000001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2.2603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2.3062499999999999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2.3628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1.455E-2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1.465E-2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1.525E-2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1.7500000000000002E-2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2.035E-2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2.46E-2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3.065E-2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3.5650000000000001E-2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4.4049999999999999E-2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4.9399999999999999E-2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5.57E-2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6.4500000000000002E-2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7.3899999999999993E-2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8.3749999999999991E-2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9.4100000000000003E-2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0.10235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0.11019999999999999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1.9349999999999999E-2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1.7299999999999999E-2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1.7350000000000001E-2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2.215E-2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2.955E-2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3.8699999999999998E-2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4.9049999999999996E-2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5.8599999999999999E-2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6.6799999999999998E-2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7.325000000000001E-2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8.0049999999999996E-2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8.5449999999999998E-2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9.06E-2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9.6000000000000002E-2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0.10114999999999999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0.10505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0.10744999999999999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5.4999999999999992E-4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8.9999999999999998E-4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1.6000000000000001E-3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2.65E-3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3.5999999999999999E-3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4.5500000000000002E-3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6.0000000000000001E-3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7.7499999999999999E-3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9.2499999999999995E-3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1.085E-2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1.2549999999999999E-2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1.4700000000000001E-2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1.7149999999999999E-2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1.9650000000000001E-2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2.2400000000000003E-2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2.5500000000000002E-2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2.8199999999999999E-2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4.6098499999999998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2.9999999999999997E-4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1.4E-3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3.5000000000000001E-3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6.3499999999999997E-3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9.7000000000000003E-3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1.3100000000000001E-2</v>
      </c>
      <c r="K528" t="s">
        <v>85</v>
      </c>
    </row>
    <row r="529" spans="1:11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1.635E-2</v>
      </c>
      <c r="K529" t="s">
        <v>85</v>
      </c>
    </row>
    <row r="530" spans="1:11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1.78E-2</v>
      </c>
      <c r="K530" t="s">
        <v>85</v>
      </c>
    </row>
    <row r="531" spans="1:11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1.8749999999999999E-2</v>
      </c>
      <c r="K531" t="s">
        <v>85</v>
      </c>
    </row>
    <row r="532" spans="1:11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1.9349999999999999E-2</v>
      </c>
      <c r="K532" t="s">
        <v>85</v>
      </c>
    </row>
    <row r="533" spans="1:11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1.9749999999999997E-2</v>
      </c>
      <c r="K533" t="s">
        <v>85</v>
      </c>
    </row>
    <row r="534" spans="1:11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2.1999999999999999E-2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2.4399999999999998E-2</v>
      </c>
      <c r="K535" t="s">
        <v>85</v>
      </c>
    </row>
    <row r="536" spans="1:11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3.125E-2</v>
      </c>
      <c r="K536" t="s">
        <v>85</v>
      </c>
    </row>
    <row r="537" spans="1:11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3.8100000000000002E-2</v>
      </c>
      <c r="K537" t="s">
        <v>85</v>
      </c>
    </row>
    <row r="538" spans="1:11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5.3600000000000002E-2</v>
      </c>
      <c r="K538" t="s">
        <v>85</v>
      </c>
    </row>
    <row r="539" spans="1:11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6.795000000000001E-2</v>
      </c>
      <c r="K539" t="s">
        <v>85</v>
      </c>
    </row>
    <row r="540" spans="1:11" x14ac:dyDescent="0.45">
      <c r="A540" t="s">
        <v>90</v>
      </c>
      <c r="B540" t="s">
        <v>4</v>
      </c>
      <c r="C540" t="s">
        <v>84</v>
      </c>
      <c r="D540" t="s">
        <v>45</v>
      </c>
      <c r="E540" t="s">
        <v>46</v>
      </c>
      <c r="F540" t="s">
        <v>45</v>
      </c>
      <c r="G540" t="s">
        <v>47</v>
      </c>
      <c r="H540" t="s">
        <v>89</v>
      </c>
      <c r="I540">
        <v>2020</v>
      </c>
      <c r="J540">
        <v>0</v>
      </c>
      <c r="K540" t="s">
        <v>45</v>
      </c>
    </row>
    <row r="541" spans="1:11" x14ac:dyDescent="0.45">
      <c r="A541" t="s">
        <v>90</v>
      </c>
      <c r="B541" t="s">
        <v>4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2025</v>
      </c>
      <c r="J541">
        <v>0</v>
      </c>
      <c r="K541" t="s">
        <v>45</v>
      </c>
    </row>
    <row r="542" spans="1:11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2030</v>
      </c>
      <c r="J542">
        <v>0</v>
      </c>
      <c r="K542" t="s">
        <v>45</v>
      </c>
    </row>
    <row r="543" spans="1:11" x14ac:dyDescent="0.45">
      <c r="A543" t="s">
        <v>90</v>
      </c>
      <c r="B543" t="s">
        <v>4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2035</v>
      </c>
      <c r="J543">
        <v>0</v>
      </c>
      <c r="K543" t="s">
        <v>45</v>
      </c>
    </row>
    <row r="544" spans="1:11" x14ac:dyDescent="0.45">
      <c r="A544" t="s">
        <v>90</v>
      </c>
      <c r="B544" t="s">
        <v>4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0</v>
      </c>
      <c r="K544" t="s">
        <v>45</v>
      </c>
    </row>
    <row r="545" spans="1:12" x14ac:dyDescent="0.45">
      <c r="A545" t="s">
        <v>90</v>
      </c>
      <c r="B545" t="s">
        <v>4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2045</v>
      </c>
      <c r="J545">
        <v>0</v>
      </c>
      <c r="K545" t="s">
        <v>45</v>
      </c>
    </row>
    <row r="546" spans="1:12" x14ac:dyDescent="0.45">
      <c r="A546" t="s">
        <v>90</v>
      </c>
      <c r="B546" t="s">
        <v>4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2050</v>
      </c>
      <c r="J546">
        <v>0</v>
      </c>
      <c r="K546" t="s">
        <v>45</v>
      </c>
    </row>
    <row r="547" spans="1:12" x14ac:dyDescent="0.45">
      <c r="A547" t="s">
        <v>90</v>
      </c>
      <c r="B547" t="s">
        <v>4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2055</v>
      </c>
      <c r="J547">
        <v>0</v>
      </c>
      <c r="K547" t="s">
        <v>45</v>
      </c>
    </row>
    <row r="548" spans="1:12" x14ac:dyDescent="0.45">
      <c r="A548" t="s">
        <v>90</v>
      </c>
      <c r="B548" t="s">
        <v>4</v>
      </c>
      <c r="C548" t="s">
        <v>84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2060</v>
      </c>
      <c r="J548">
        <v>0</v>
      </c>
      <c r="K548" t="s">
        <v>45</v>
      </c>
    </row>
    <row r="549" spans="1:12" x14ac:dyDescent="0.45">
      <c r="A549" t="s">
        <v>90</v>
      </c>
      <c r="B549" t="s">
        <v>4</v>
      </c>
      <c r="C549" t="s">
        <v>84</v>
      </c>
      <c r="D549" t="s">
        <v>45</v>
      </c>
      <c r="E549" t="s">
        <v>46</v>
      </c>
      <c r="F549" t="s">
        <v>45</v>
      </c>
      <c r="G549" t="s">
        <v>47</v>
      </c>
      <c r="H549" t="s">
        <v>89</v>
      </c>
      <c r="I549">
        <v>2065</v>
      </c>
      <c r="J549">
        <v>0</v>
      </c>
      <c r="K549" t="s">
        <v>45</v>
      </c>
    </row>
    <row r="550" spans="1:12" x14ac:dyDescent="0.45">
      <c r="A550" t="s">
        <v>90</v>
      </c>
      <c r="B550" t="s">
        <v>4</v>
      </c>
      <c r="C550" t="s">
        <v>84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2070</v>
      </c>
      <c r="J550">
        <v>0</v>
      </c>
      <c r="K550" t="s">
        <v>45</v>
      </c>
    </row>
    <row r="551" spans="1:12" x14ac:dyDescent="0.45">
      <c r="A551" t="s">
        <v>90</v>
      </c>
      <c r="B551" t="s">
        <v>4</v>
      </c>
      <c r="C551" t="s">
        <v>84</v>
      </c>
      <c r="D551" t="s">
        <v>45</v>
      </c>
      <c r="E551" t="s">
        <v>46</v>
      </c>
      <c r="F551" t="s">
        <v>45</v>
      </c>
      <c r="G551" t="s">
        <v>47</v>
      </c>
      <c r="H551" t="s">
        <v>89</v>
      </c>
      <c r="I551">
        <v>2075</v>
      </c>
      <c r="J551">
        <v>0</v>
      </c>
      <c r="K551" t="s">
        <v>45</v>
      </c>
    </row>
    <row r="552" spans="1:12" x14ac:dyDescent="0.45">
      <c r="A552" t="s">
        <v>90</v>
      </c>
      <c r="B552" t="s">
        <v>4</v>
      </c>
      <c r="C552" t="s">
        <v>84</v>
      </c>
      <c r="D552" t="s">
        <v>45</v>
      </c>
      <c r="E552" t="s">
        <v>46</v>
      </c>
      <c r="F552" t="s">
        <v>45</v>
      </c>
      <c r="G552" t="s">
        <v>47</v>
      </c>
      <c r="H552" t="s">
        <v>89</v>
      </c>
      <c r="I552">
        <v>2080</v>
      </c>
      <c r="J552">
        <v>0</v>
      </c>
      <c r="K552" t="s">
        <v>45</v>
      </c>
    </row>
    <row r="553" spans="1:12" x14ac:dyDescent="0.45">
      <c r="A553" t="s">
        <v>90</v>
      </c>
      <c r="B553" t="s">
        <v>4</v>
      </c>
      <c r="C553" t="s">
        <v>84</v>
      </c>
      <c r="D553" t="s">
        <v>45</v>
      </c>
      <c r="E553" t="s">
        <v>46</v>
      </c>
      <c r="F553" t="s">
        <v>45</v>
      </c>
      <c r="G553" t="s">
        <v>47</v>
      </c>
      <c r="H553" t="s">
        <v>89</v>
      </c>
      <c r="I553">
        <v>2085</v>
      </c>
      <c r="J553">
        <v>0</v>
      </c>
      <c r="K553" t="s">
        <v>45</v>
      </c>
    </row>
    <row r="554" spans="1:12" x14ac:dyDescent="0.45">
      <c r="A554" t="s">
        <v>90</v>
      </c>
      <c r="B554" t="s">
        <v>4</v>
      </c>
      <c r="C554" t="s">
        <v>84</v>
      </c>
      <c r="D554" t="s">
        <v>45</v>
      </c>
      <c r="E554" t="s">
        <v>46</v>
      </c>
      <c r="F554" t="s">
        <v>45</v>
      </c>
      <c r="G554" t="s">
        <v>47</v>
      </c>
      <c r="H554" t="s">
        <v>89</v>
      </c>
      <c r="I554">
        <v>2090</v>
      </c>
      <c r="J554">
        <v>0</v>
      </c>
      <c r="K554" t="s">
        <v>45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2095</v>
      </c>
      <c r="J555">
        <v>0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45</v>
      </c>
      <c r="E556" t="s">
        <v>46</v>
      </c>
      <c r="F556" t="s">
        <v>45</v>
      </c>
      <c r="G556" t="s">
        <v>47</v>
      </c>
      <c r="H556" t="s">
        <v>89</v>
      </c>
      <c r="I556">
        <v>2100</v>
      </c>
      <c r="J556">
        <v>0</v>
      </c>
      <c r="K556" t="s">
        <v>45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3.2000000000000002E-3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2.7000000000000001E-3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2.3E-3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1.9E-3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1.5E-3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1.1000000000000001E-3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8.0000000000000004E-4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5.9999999999999995E-4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2.9999999999999997E-4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2.0000000000000001E-4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5.0000000000000002E-5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1.9999999999999998E-4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3.0000000000000003E-4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6.9999999999999999E-4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1.5E-3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3.0000000000000001E-3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5.5999999999999999E-3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8.8000000000000005E-3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1.2500000000000001E-2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1.6299999999999999E-2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1.95E-2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2.1850000000000001E-2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2.1999999999999999E-2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2.1649999999999999E-2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1.9599999999999999E-2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1.66E-2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1.4999999999999999E-2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1.2750000000000001E-2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1.1949999999999999E-2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1.0749999999999999E-2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0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0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0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56.074300000000001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66.797650000000004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75.327150000000003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85.159199999999998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95.082949999999997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98.826300000000003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106.26994999999999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111.61805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178.16325000000001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190.64075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203.1182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214.20554999999999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225.2929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240.48930000000001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255.6857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285.67115000000001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315.65665000000001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5.2543500000000005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2025</v>
      </c>
      <c r="J626">
        <v>6.0868500000000001</v>
      </c>
      <c r="K626" t="s">
        <v>48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2030</v>
      </c>
      <c r="J627">
        <v>8.4654500000000006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2035</v>
      </c>
      <c r="J628">
        <v>10.314550000000001</v>
      </c>
      <c r="K628" t="s">
        <v>48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11.44125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2045</v>
      </c>
      <c r="J630">
        <v>10.661000000000001</v>
      </c>
      <c r="K630" t="s">
        <v>48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2050</v>
      </c>
      <c r="J631">
        <v>8.9891500000000004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48</v>
      </c>
      <c r="E632" t="s">
        <v>46</v>
      </c>
      <c r="F632" t="s">
        <v>48</v>
      </c>
      <c r="G632" t="s">
        <v>49</v>
      </c>
      <c r="H632" t="s">
        <v>50</v>
      </c>
      <c r="I632">
        <v>2055</v>
      </c>
      <c r="J632">
        <v>4.6387</v>
      </c>
      <c r="K632" t="s">
        <v>48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2060</v>
      </c>
      <c r="J633">
        <v>0.2661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48</v>
      </c>
      <c r="E634" t="s">
        <v>46</v>
      </c>
      <c r="F634" t="s">
        <v>48</v>
      </c>
      <c r="G634" t="s">
        <v>49</v>
      </c>
      <c r="H634" t="s">
        <v>50</v>
      </c>
      <c r="I634">
        <v>2065</v>
      </c>
      <c r="J634">
        <v>-2.2185999999999999</v>
      </c>
      <c r="K634" t="s">
        <v>48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2070</v>
      </c>
      <c r="J635">
        <v>-5.0497499999999995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48</v>
      </c>
      <c r="E636" t="s">
        <v>46</v>
      </c>
      <c r="F636" t="s">
        <v>48</v>
      </c>
      <c r="G636" t="s">
        <v>49</v>
      </c>
      <c r="H636" t="s">
        <v>50</v>
      </c>
      <c r="I636">
        <v>2075</v>
      </c>
      <c r="J636">
        <v>-5.8952499999999999</v>
      </c>
      <c r="K636" t="s">
        <v>48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2080</v>
      </c>
      <c r="J637">
        <v>-6.8037999999999998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48</v>
      </c>
      <c r="E638" t="s">
        <v>46</v>
      </c>
      <c r="F638" t="s">
        <v>48</v>
      </c>
      <c r="G638" t="s">
        <v>49</v>
      </c>
      <c r="H638" t="s">
        <v>50</v>
      </c>
      <c r="I638">
        <v>2085</v>
      </c>
      <c r="J638">
        <v>-5.1300999999999997</v>
      </c>
      <c r="K638" t="s">
        <v>48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2090</v>
      </c>
      <c r="J639">
        <v>-3.42075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2095</v>
      </c>
      <c r="J640">
        <v>-2.7969499999999998</v>
      </c>
      <c r="K640" t="s">
        <v>48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2100</v>
      </c>
      <c r="J641">
        <v>-2.0712000000000002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2020</v>
      </c>
      <c r="J642">
        <v>3.9555499999999997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51</v>
      </c>
      <c r="E643" t="s">
        <v>46</v>
      </c>
      <c r="F643" t="s">
        <v>51</v>
      </c>
      <c r="G643" t="s">
        <v>49</v>
      </c>
      <c r="H643" t="s">
        <v>50</v>
      </c>
      <c r="I643">
        <v>2025</v>
      </c>
      <c r="J643">
        <v>5.7462499999999999</v>
      </c>
      <c r="K643" t="s">
        <v>51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2030</v>
      </c>
      <c r="J644">
        <v>8.1822999999999997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51</v>
      </c>
      <c r="E645" t="s">
        <v>46</v>
      </c>
      <c r="F645" t="s">
        <v>51</v>
      </c>
      <c r="G645" t="s">
        <v>49</v>
      </c>
      <c r="H645" t="s">
        <v>50</v>
      </c>
      <c r="I645">
        <v>2035</v>
      </c>
      <c r="J645">
        <v>10.58175</v>
      </c>
      <c r="K645" t="s">
        <v>51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2040</v>
      </c>
      <c r="J646">
        <v>12.10665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51</v>
      </c>
      <c r="E647" t="s">
        <v>46</v>
      </c>
      <c r="F647" t="s">
        <v>51</v>
      </c>
      <c r="G647" t="s">
        <v>49</v>
      </c>
      <c r="H647" t="s">
        <v>50</v>
      </c>
      <c r="I647">
        <v>2045</v>
      </c>
      <c r="J647">
        <v>11.457550000000001</v>
      </c>
      <c r="K647" t="s">
        <v>51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2050</v>
      </c>
      <c r="J648">
        <v>9.875350000000001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51</v>
      </c>
      <c r="E649" t="s">
        <v>46</v>
      </c>
      <c r="F649" t="s">
        <v>51</v>
      </c>
      <c r="G649" t="s">
        <v>49</v>
      </c>
      <c r="H649" t="s">
        <v>50</v>
      </c>
      <c r="I649">
        <v>2055</v>
      </c>
      <c r="J649">
        <v>5.3845499999999999</v>
      </c>
      <c r="K649" t="s">
        <v>51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2060</v>
      </c>
      <c r="J650">
        <v>0.75045000000000006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51</v>
      </c>
      <c r="E651" t="s">
        <v>46</v>
      </c>
      <c r="F651" t="s">
        <v>51</v>
      </c>
      <c r="G651" t="s">
        <v>49</v>
      </c>
      <c r="H651" t="s">
        <v>50</v>
      </c>
      <c r="I651">
        <v>2065</v>
      </c>
      <c r="J651">
        <v>-1.8511500000000001</v>
      </c>
      <c r="K651" t="s">
        <v>51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2070</v>
      </c>
      <c r="J652">
        <v>-4.7987500000000001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2075</v>
      </c>
      <c r="J653">
        <v>-5.8201999999999998</v>
      </c>
      <c r="K653" t="s">
        <v>51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2080</v>
      </c>
      <c r="J654">
        <v>-6.9070999999999998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2085</v>
      </c>
      <c r="J655">
        <v>-6.0062499999999996</v>
      </c>
      <c r="K655" t="s">
        <v>51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2090</v>
      </c>
      <c r="J656">
        <v>-5.0698500000000006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2095</v>
      </c>
      <c r="J657">
        <v>-3.9238</v>
      </c>
      <c r="K657" t="s">
        <v>51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-2.6791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8.9685999999999986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2.2217500000000001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2.2603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1.87825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1.1949999999999999E-2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1.0699999999999999E-2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1.3100000000000001E-2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1.23E-2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1.4100000000000001E-2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2.0999999999999998E-2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3.4750000000000003E-2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4.4649999999999995E-2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5.8950000000000002E-2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6.989999999999999E-2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8.14E-2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8.9900000000000008E-2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9.8549999999999999E-2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0.10619999999999999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0.11395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0.12104999999999999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0.12769999999999998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1.4E-2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1.3950000000000001E-2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1.6050000000000002E-2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1.6550000000000002E-2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2.5100000000000001E-2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3.9E-2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5.6000000000000001E-2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7.4899999999999994E-2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9.1600000000000001E-2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0.1061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0.1198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0.12190000000000001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0.12375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0.12340000000000001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0.12279999999999999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0.1245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0.12445000000000001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4.4999999999999999E-4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6.4999999999999997E-4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1.2999999999999999E-3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1.9E-3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3.2500000000000003E-3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5.9500000000000004E-3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8.6999999999999994E-3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1.14E-2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1.38E-2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1.6449999999999999E-2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1.9349999999999999E-2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2.1299999999999999E-2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2.35E-2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2.545E-2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2.7549999999999998E-2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3.0499999999999999E-2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3.3049999999999996E-2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4.6098499999999998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4.6126000000000005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4.16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2.0000000000000001E-4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1.2999999999999999E-3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3.4499999999999999E-3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6.0999999999999995E-3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1.2E-2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1.8599999999999998E-2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2.6950000000000002E-2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3.465E-2</v>
      </c>
      <c r="K768" t="s">
        <v>85</v>
      </c>
    </row>
    <row r="769" spans="1:11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4.0349999999999997E-2</v>
      </c>
      <c r="K769" t="s">
        <v>85</v>
      </c>
    </row>
    <row r="770" spans="1:11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4.1450000000000001E-2</v>
      </c>
      <c r="K770" t="s">
        <v>85</v>
      </c>
    </row>
    <row r="771" spans="1:11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4.0400000000000005E-2</v>
      </c>
      <c r="K771" t="s">
        <v>85</v>
      </c>
    </row>
    <row r="772" spans="1:11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4.4450000000000003E-2</v>
      </c>
      <c r="K772" t="s">
        <v>85</v>
      </c>
    </row>
    <row r="773" spans="1:11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4.8549999999999996E-2</v>
      </c>
      <c r="K773" t="s">
        <v>85</v>
      </c>
    </row>
    <row r="774" spans="1:11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5.0849999999999999E-2</v>
      </c>
      <c r="K774" t="s">
        <v>85</v>
      </c>
    </row>
    <row r="775" spans="1:11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5.3249999999999999E-2</v>
      </c>
      <c r="K775" t="s">
        <v>85</v>
      </c>
    </row>
    <row r="776" spans="1:11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5.1699999999999996E-2</v>
      </c>
      <c r="K776" t="s">
        <v>85</v>
      </c>
    </row>
    <row r="777" spans="1:11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4.9850000000000005E-2</v>
      </c>
      <c r="K777" t="s">
        <v>85</v>
      </c>
    </row>
    <row r="778" spans="1:11" x14ac:dyDescent="0.45">
      <c r="A778" t="s">
        <v>90</v>
      </c>
      <c r="B778" t="s">
        <v>0</v>
      </c>
      <c r="C778" t="s">
        <v>84</v>
      </c>
      <c r="D778" t="s">
        <v>45</v>
      </c>
      <c r="E778" t="s">
        <v>46</v>
      </c>
      <c r="F778" t="s">
        <v>45</v>
      </c>
      <c r="G778" t="s">
        <v>47</v>
      </c>
      <c r="H778" t="s">
        <v>89</v>
      </c>
      <c r="I778">
        <v>2020</v>
      </c>
      <c r="J778">
        <v>0</v>
      </c>
      <c r="K778" t="s">
        <v>45</v>
      </c>
    </row>
    <row r="779" spans="1:11" x14ac:dyDescent="0.45">
      <c r="A779" t="s">
        <v>90</v>
      </c>
      <c r="B779" t="s">
        <v>0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2025</v>
      </c>
      <c r="J779">
        <v>0</v>
      </c>
      <c r="K779" t="s">
        <v>45</v>
      </c>
    </row>
    <row r="780" spans="1:11" x14ac:dyDescent="0.45">
      <c r="A780" t="s">
        <v>90</v>
      </c>
      <c r="B780" t="s">
        <v>0</v>
      </c>
      <c r="C780" t="s">
        <v>84</v>
      </c>
      <c r="D780" t="s">
        <v>45</v>
      </c>
      <c r="E780" t="s">
        <v>46</v>
      </c>
      <c r="F780" t="s">
        <v>45</v>
      </c>
      <c r="G780" t="s">
        <v>47</v>
      </c>
      <c r="H780" t="s">
        <v>89</v>
      </c>
      <c r="I780">
        <v>2030</v>
      </c>
      <c r="J780">
        <v>0</v>
      </c>
      <c r="K780" t="s">
        <v>45</v>
      </c>
    </row>
    <row r="781" spans="1:11" x14ac:dyDescent="0.45">
      <c r="A781" t="s">
        <v>90</v>
      </c>
      <c r="B781" t="s">
        <v>0</v>
      </c>
      <c r="C781" t="s">
        <v>84</v>
      </c>
      <c r="D781" t="s">
        <v>45</v>
      </c>
      <c r="E781" t="s">
        <v>46</v>
      </c>
      <c r="F781" t="s">
        <v>45</v>
      </c>
      <c r="G781" t="s">
        <v>47</v>
      </c>
      <c r="H781" t="s">
        <v>89</v>
      </c>
      <c r="I781">
        <v>2035</v>
      </c>
      <c r="J781">
        <v>2.2500000000000003E-3</v>
      </c>
      <c r="K781" t="s">
        <v>45</v>
      </c>
    </row>
    <row r="782" spans="1:11" x14ac:dyDescent="0.45">
      <c r="A782" t="s">
        <v>90</v>
      </c>
      <c r="B782" t="s">
        <v>0</v>
      </c>
      <c r="C782" t="s">
        <v>84</v>
      </c>
      <c r="D782" t="s">
        <v>45</v>
      </c>
      <c r="E782" t="s">
        <v>46</v>
      </c>
      <c r="F782" t="s">
        <v>45</v>
      </c>
      <c r="G782" t="s">
        <v>47</v>
      </c>
      <c r="H782" t="s">
        <v>89</v>
      </c>
      <c r="I782">
        <v>2040</v>
      </c>
      <c r="J782">
        <v>0.41844999999999999</v>
      </c>
      <c r="K782" t="s">
        <v>45</v>
      </c>
    </row>
    <row r="783" spans="1:11" x14ac:dyDescent="0.45">
      <c r="A783" t="s">
        <v>90</v>
      </c>
      <c r="B783" t="s">
        <v>0</v>
      </c>
      <c r="C783" t="s">
        <v>84</v>
      </c>
      <c r="D783" t="s">
        <v>45</v>
      </c>
      <c r="E783" t="s">
        <v>46</v>
      </c>
      <c r="F783" t="s">
        <v>45</v>
      </c>
      <c r="G783" t="s">
        <v>47</v>
      </c>
      <c r="H783" t="s">
        <v>89</v>
      </c>
      <c r="I783">
        <v>2045</v>
      </c>
      <c r="J783">
        <v>2.0730500000000003</v>
      </c>
      <c r="K783" t="s">
        <v>45</v>
      </c>
    </row>
    <row r="784" spans="1:11" x14ac:dyDescent="0.45">
      <c r="A784" t="s">
        <v>90</v>
      </c>
      <c r="B784" t="s">
        <v>0</v>
      </c>
      <c r="C784" t="s">
        <v>84</v>
      </c>
      <c r="D784" t="s">
        <v>45</v>
      </c>
      <c r="E784" t="s">
        <v>46</v>
      </c>
      <c r="F784" t="s">
        <v>45</v>
      </c>
      <c r="G784" t="s">
        <v>47</v>
      </c>
      <c r="H784" t="s">
        <v>89</v>
      </c>
      <c r="I784">
        <v>2050</v>
      </c>
      <c r="J784">
        <v>3.7929500000000003</v>
      </c>
      <c r="K784" t="s">
        <v>45</v>
      </c>
    </row>
    <row r="785" spans="1:12" x14ac:dyDescent="0.45">
      <c r="A785" t="s">
        <v>90</v>
      </c>
      <c r="B785" t="s">
        <v>0</v>
      </c>
      <c r="C785" t="s">
        <v>84</v>
      </c>
      <c r="D785" t="s">
        <v>45</v>
      </c>
      <c r="E785" t="s">
        <v>46</v>
      </c>
      <c r="F785" t="s">
        <v>45</v>
      </c>
      <c r="G785" t="s">
        <v>47</v>
      </c>
      <c r="H785" t="s">
        <v>89</v>
      </c>
      <c r="I785">
        <v>2055</v>
      </c>
      <c r="J785">
        <v>3.9466999999999999</v>
      </c>
      <c r="K785" t="s">
        <v>45</v>
      </c>
    </row>
    <row r="786" spans="1:12" x14ac:dyDescent="0.45">
      <c r="A786" t="s">
        <v>90</v>
      </c>
      <c r="B786" t="s">
        <v>0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2060</v>
      </c>
      <c r="J786">
        <v>4.0647000000000002</v>
      </c>
      <c r="K786" t="s">
        <v>45</v>
      </c>
    </row>
    <row r="787" spans="1:12" x14ac:dyDescent="0.45">
      <c r="A787" t="s">
        <v>90</v>
      </c>
      <c r="B787" t="s">
        <v>0</v>
      </c>
      <c r="C787" t="s">
        <v>84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2065</v>
      </c>
      <c r="J787">
        <v>4.5696000000000003</v>
      </c>
      <c r="K787" t="s">
        <v>45</v>
      </c>
    </row>
    <row r="788" spans="1:12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2070</v>
      </c>
      <c r="J788">
        <v>5.1658499999999998</v>
      </c>
      <c r="K788" t="s">
        <v>45</v>
      </c>
    </row>
    <row r="789" spans="1:12" x14ac:dyDescent="0.45">
      <c r="A789" t="s">
        <v>90</v>
      </c>
      <c r="B789" t="s">
        <v>0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2075</v>
      </c>
      <c r="J789">
        <v>5.2285500000000003</v>
      </c>
      <c r="K789" t="s">
        <v>45</v>
      </c>
    </row>
    <row r="790" spans="1:12" x14ac:dyDescent="0.45">
      <c r="A790" t="s">
        <v>90</v>
      </c>
      <c r="B790" t="s">
        <v>0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2080</v>
      </c>
      <c r="J790">
        <v>5.30145</v>
      </c>
      <c r="K790" t="s">
        <v>45</v>
      </c>
    </row>
    <row r="791" spans="1:12" x14ac:dyDescent="0.45">
      <c r="A791" t="s">
        <v>90</v>
      </c>
      <c r="B791" t="s">
        <v>0</v>
      </c>
      <c r="C791" t="s">
        <v>84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2085</v>
      </c>
      <c r="J791">
        <v>4.4840999999999998</v>
      </c>
      <c r="K791" t="s">
        <v>45</v>
      </c>
    </row>
    <row r="792" spans="1:12" x14ac:dyDescent="0.45">
      <c r="A792" t="s">
        <v>90</v>
      </c>
      <c r="B792" t="s">
        <v>0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2090</v>
      </c>
      <c r="J792">
        <v>3.61435</v>
      </c>
      <c r="K792" t="s">
        <v>45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2095</v>
      </c>
      <c r="J793">
        <v>2.8977500000000003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45</v>
      </c>
      <c r="E794" t="s">
        <v>46</v>
      </c>
      <c r="F794" t="s">
        <v>45</v>
      </c>
      <c r="G794" t="s">
        <v>47</v>
      </c>
      <c r="H794" t="s">
        <v>89</v>
      </c>
      <c r="I794">
        <v>2100</v>
      </c>
      <c r="J794">
        <v>2.0674000000000001</v>
      </c>
      <c r="K794" t="s">
        <v>45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1.5E-3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1.1000000000000001E-3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6.9999999999999999E-4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4.0000000000000002E-4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5.0000000000000001E-4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2.9999999999999997E-4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1E-4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2.9999999999999997E-4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5.0000000000000001E-4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8.9999999999999998E-4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1.2999999999999999E-3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2.2000000000000001E-3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1.6999999999999999E-3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6.9999999999999999E-4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2.5000000000000001E-4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1E-4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5.0000000000000002E-5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56.074300000000001</v>
      </c>
      <c r="K846" t="s">
        <v>37</v>
      </c>
    </row>
    <row r="847" spans="1:12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66.797650000000004</v>
      </c>
      <c r="K847" t="s">
        <v>37</v>
      </c>
    </row>
    <row r="848" spans="1:12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75.327150000000003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60.4788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84.912299999999988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96.226300000000009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89.194999999999993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141.33575000000002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195.95305000000002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251.33190000000002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306.71075000000002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369.48284999999998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432.255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438.64654999999999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445.03809999999999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466.59929999999997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488.16059999999999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5.1782000000000004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2025</v>
      </c>
      <c r="J864">
        <v>5.8530499999999996</v>
      </c>
      <c r="K864" t="s">
        <v>48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2030</v>
      </c>
      <c r="J865">
        <v>8.0840500000000013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48</v>
      </c>
      <c r="E866" t="s">
        <v>46</v>
      </c>
      <c r="F866" t="s">
        <v>48</v>
      </c>
      <c r="G866" t="s">
        <v>49</v>
      </c>
      <c r="H866" t="s">
        <v>50</v>
      </c>
      <c r="I866">
        <v>2035</v>
      </c>
      <c r="J866">
        <v>11.01755</v>
      </c>
      <c r="K866" t="s">
        <v>48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2040</v>
      </c>
      <c r="J867">
        <v>12.8444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48</v>
      </c>
      <c r="E868" t="s">
        <v>46</v>
      </c>
      <c r="F868" t="s">
        <v>48</v>
      </c>
      <c r="G868" t="s">
        <v>49</v>
      </c>
      <c r="H868" t="s">
        <v>50</v>
      </c>
      <c r="I868">
        <v>2045</v>
      </c>
      <c r="J868">
        <v>16.1127</v>
      </c>
      <c r="K868" t="s">
        <v>48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2050</v>
      </c>
      <c r="J869">
        <v>21.425550000000001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48</v>
      </c>
      <c r="E870" t="s">
        <v>46</v>
      </c>
      <c r="F870" t="s">
        <v>48</v>
      </c>
      <c r="G870" t="s">
        <v>49</v>
      </c>
      <c r="H870" t="s">
        <v>50</v>
      </c>
      <c r="I870">
        <v>2055</v>
      </c>
      <c r="J870">
        <v>17.597850000000001</v>
      </c>
      <c r="K870" t="s">
        <v>48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2060</v>
      </c>
      <c r="J871">
        <v>12.89935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48</v>
      </c>
      <c r="E872" t="s">
        <v>46</v>
      </c>
      <c r="F872" t="s">
        <v>48</v>
      </c>
      <c r="G872" t="s">
        <v>49</v>
      </c>
      <c r="H872" t="s">
        <v>50</v>
      </c>
      <c r="I872">
        <v>2065</v>
      </c>
      <c r="J872">
        <v>10.7073</v>
      </c>
      <c r="K872" t="s">
        <v>48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2070</v>
      </c>
      <c r="J873">
        <v>8.3418499999999991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48</v>
      </c>
      <c r="E874" t="s">
        <v>46</v>
      </c>
      <c r="F874" t="s">
        <v>48</v>
      </c>
      <c r="G874" t="s">
        <v>49</v>
      </c>
      <c r="H874" t="s">
        <v>50</v>
      </c>
      <c r="I874">
        <v>2075</v>
      </c>
      <c r="J874">
        <v>7.0551499999999994</v>
      </c>
      <c r="K874" t="s">
        <v>48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2080</v>
      </c>
      <c r="J875">
        <v>5.7902000000000005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48</v>
      </c>
      <c r="E876" t="s">
        <v>46</v>
      </c>
      <c r="F876" t="s">
        <v>48</v>
      </c>
      <c r="G876" t="s">
        <v>49</v>
      </c>
      <c r="H876" t="s">
        <v>50</v>
      </c>
      <c r="I876">
        <v>2085</v>
      </c>
      <c r="J876">
        <v>5.6708499999999997</v>
      </c>
      <c r="K876" t="s">
        <v>48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2090</v>
      </c>
      <c r="J877">
        <v>5.5835500000000007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2095</v>
      </c>
      <c r="J878">
        <v>5.0418000000000003</v>
      </c>
      <c r="K878" t="s">
        <v>48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2100</v>
      </c>
      <c r="J879">
        <v>4.5369000000000002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2020</v>
      </c>
      <c r="J880">
        <v>3.88165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51</v>
      </c>
      <c r="E881" t="s">
        <v>46</v>
      </c>
      <c r="F881" t="s">
        <v>51</v>
      </c>
      <c r="G881" t="s">
        <v>49</v>
      </c>
      <c r="H881" t="s">
        <v>50</v>
      </c>
      <c r="I881">
        <v>2025</v>
      </c>
      <c r="J881">
        <v>5.6051000000000002</v>
      </c>
      <c r="K881" t="s">
        <v>51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2030</v>
      </c>
      <c r="J882">
        <v>8.0113000000000003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51</v>
      </c>
      <c r="E883" t="s">
        <v>46</v>
      </c>
      <c r="F883" t="s">
        <v>51</v>
      </c>
      <c r="G883" t="s">
        <v>49</v>
      </c>
      <c r="H883" t="s">
        <v>50</v>
      </c>
      <c r="I883">
        <v>2035</v>
      </c>
      <c r="J883">
        <v>11.4658</v>
      </c>
      <c r="K883" t="s">
        <v>51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2040</v>
      </c>
      <c r="J884">
        <v>13.7781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51</v>
      </c>
      <c r="E885" t="s">
        <v>46</v>
      </c>
      <c r="F885" t="s">
        <v>51</v>
      </c>
      <c r="G885" t="s">
        <v>49</v>
      </c>
      <c r="H885" t="s">
        <v>50</v>
      </c>
      <c r="I885">
        <v>2045</v>
      </c>
      <c r="J885">
        <v>17.053000000000001</v>
      </c>
      <c r="K885" t="s">
        <v>51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2050</v>
      </c>
      <c r="J886">
        <v>22.422350000000002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51</v>
      </c>
      <c r="E887" t="s">
        <v>46</v>
      </c>
      <c r="F887" t="s">
        <v>51</v>
      </c>
      <c r="G887" t="s">
        <v>49</v>
      </c>
      <c r="H887" t="s">
        <v>50</v>
      </c>
      <c r="I887">
        <v>2055</v>
      </c>
      <c r="J887">
        <v>18.564999999999998</v>
      </c>
      <c r="K887" t="s">
        <v>51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2060</v>
      </c>
      <c r="J888">
        <v>13.74325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51</v>
      </c>
      <c r="E889" t="s">
        <v>46</v>
      </c>
      <c r="F889" t="s">
        <v>51</v>
      </c>
      <c r="G889" t="s">
        <v>49</v>
      </c>
      <c r="H889" t="s">
        <v>50</v>
      </c>
      <c r="I889">
        <v>2065</v>
      </c>
      <c r="J889">
        <v>11.30325</v>
      </c>
      <c r="K889" t="s">
        <v>51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2070</v>
      </c>
      <c r="J890">
        <v>8.6914999999999996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51</v>
      </c>
      <c r="E891" t="s">
        <v>46</v>
      </c>
      <c r="F891" t="s">
        <v>51</v>
      </c>
      <c r="G891" t="s">
        <v>49</v>
      </c>
      <c r="H891" t="s">
        <v>50</v>
      </c>
      <c r="I891">
        <v>2075</v>
      </c>
      <c r="J891">
        <v>7.3423999999999996</v>
      </c>
      <c r="K891" t="s">
        <v>51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2080</v>
      </c>
      <c r="J892">
        <v>6.0140499999999992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2085</v>
      </c>
      <c r="J893">
        <v>5.1227499999999999</v>
      </c>
      <c r="K893" t="s">
        <v>51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2090</v>
      </c>
      <c r="J894">
        <v>4.2646499999999996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51</v>
      </c>
      <c r="E895" t="s">
        <v>46</v>
      </c>
      <c r="F895" t="s">
        <v>51</v>
      </c>
      <c r="G895" t="s">
        <v>49</v>
      </c>
      <c r="H895" t="s">
        <v>50</v>
      </c>
      <c r="I895">
        <v>2095</v>
      </c>
      <c r="J895">
        <v>4.1716499999999996</v>
      </c>
      <c r="K895" t="s">
        <v>51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4.1111000000000004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6.4249000000000001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2.2217500000000001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2.2603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2.2448999999999999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1.83165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1.74655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1.1050000000000001E-2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1.1849999999999999E-2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1.3000000000000001E-2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1.4700000000000001E-2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1.555E-2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2.1900000000000003E-2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3.075E-2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3.8349999999999995E-2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4.9799999999999997E-2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0.06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7.1250000000000008E-2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8.1000000000000003E-2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9.11E-2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9.9250000000000005E-2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0.1076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0.11699999999999999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0.12614999999999998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1.3649999999999999E-2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1.4250000000000001E-2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1.6E-2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2.0199999999999999E-2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2.4800000000000003E-2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3.8800000000000001E-2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5.1500000000000004E-2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6.5750000000000003E-2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7.9000000000000001E-2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9.1350000000000001E-2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0.1041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0.1091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0.1134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0.11460000000000001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0.11524999999999999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0.11895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0.12090000000000001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4.0000000000000002E-4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6.9999999999999999E-4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1.2999999999999999E-3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2.3E-3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3.2499999999999999E-3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5.3E-3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7.7999999999999996E-3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0.01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1.23E-2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1.455E-2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1.7000000000000001E-2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1.915E-2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2.155E-2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2.3699999999999999E-2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2.6000000000000002E-2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2.93E-2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3.2399999999999998E-2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4.6098499999999998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5.0553999999999997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2.0000000000000001E-4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1.2999999999999999E-3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3.4499999999999999E-3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6.4999999999999997E-3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1.0999999999999999E-2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1.6750000000000001E-2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2.5049999999999999E-2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2.9900000000000003E-2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3.78E-2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4.0400000000000005E-2</v>
      </c>
      <c r="K1008" t="s">
        <v>85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3.9750000000000001E-2</v>
      </c>
      <c r="K1009" t="s">
        <v>85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4.41E-2</v>
      </c>
      <c r="K1010" t="s">
        <v>85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4.5450000000000004E-2</v>
      </c>
      <c r="K1011" t="s">
        <v>85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4.7E-2</v>
      </c>
      <c r="K1012" t="s">
        <v>85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4.65E-2</v>
      </c>
      <c r="K1013" t="s">
        <v>85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4.5149999999999996E-2</v>
      </c>
      <c r="K1014" t="s">
        <v>85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4.3399999999999994E-2</v>
      </c>
      <c r="K1015" t="s">
        <v>85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</v>
      </c>
      <c r="K1018" t="s">
        <v>45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2.4999999999999996E-3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8.1199999999999994E-2</v>
      </c>
      <c r="K1020" t="s">
        <v>45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0.23139999999999999</v>
      </c>
      <c r="K1021" t="s">
        <v>45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0.65555000000000008</v>
      </c>
      <c r="K1022" t="s">
        <v>45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5.4467999999999996</v>
      </c>
      <c r="K1023" t="s">
        <v>45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6.8356999999999992</v>
      </c>
      <c r="K1024" t="s">
        <v>45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5.9685500000000005</v>
      </c>
      <c r="K1025" t="s">
        <v>45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5.1781499999999996</v>
      </c>
      <c r="K1026" t="s">
        <v>45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4.1507000000000005</v>
      </c>
      <c r="K1027" t="s">
        <v>45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3.1392500000000001</v>
      </c>
      <c r="K1028" t="s">
        <v>45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2.1858</v>
      </c>
      <c r="K1029" t="s">
        <v>45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1.2096499999999999</v>
      </c>
      <c r="K1030" t="s">
        <v>45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0.72760000000000002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0.24285000000000001</v>
      </c>
      <c r="K1032" t="s">
        <v>45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1.8E-3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1.2999999999999999E-3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1.1000000000000001E-3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8.9999999999999998E-4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8.0000000000000004E-4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5.9999999999999995E-4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2.0000000000000001E-4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4.0000000000000002E-4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6.9999999999999999E-4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1.2999999999999999E-3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2.5000000000000001E-3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4.7000000000000002E-3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5.4000000000000003E-3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3.7000000000000002E-3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1.65E-3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4.4999999999999999E-4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4.4999999999999999E-4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4.4999999999999999E-4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4.0000000000000002E-4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3.5E-4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2.5000000000000001E-4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1E-4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1E-4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56.074300000000001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66.797650000000004</v>
      </c>
      <c r="K1085" t="s">
        <v>37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75.327150000000003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63.09055</v>
      </c>
      <c r="K1087" t="s">
        <v>37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82.648099999999999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88.117999999999995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107.09195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122.1585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187.75594999999998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231.04705000000001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274.33815000000004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296.35090000000002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318.36355000000003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319.43360000000001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320.50360000000001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339.65949999999998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358.81539999999995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5.2208000000000006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5.6647999999999996</v>
      </c>
      <c r="K1102" t="s">
        <v>48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5.8359500000000004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6.0388000000000002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6.2333999999999996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5.1363000000000003</v>
      </c>
      <c r="K1106" t="s">
        <v>48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6.8936999999999999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4.4318999999999997</v>
      </c>
      <c r="K1108" t="s">
        <v>48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3.2868000000000004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2.2197499999999999</v>
      </c>
      <c r="K1110" t="s">
        <v>48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1.1998500000000001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0.65995000000000004</v>
      </c>
      <c r="K1112" t="s">
        <v>48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0.1351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0.58010000000000006</v>
      </c>
      <c r="K1114" t="s">
        <v>48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1.01325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0.43394999999999995</v>
      </c>
      <c r="K1116" t="s">
        <v>48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-8.1749999999999989E-2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3.8086000000000002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5.0614499999999998</v>
      </c>
      <c r="K1119" t="s">
        <v>51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5.2659500000000001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5.8624500000000008</v>
      </c>
      <c r="K1121" t="s">
        <v>51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6.2424499999999998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4.9796499999999995</v>
      </c>
      <c r="K1123" t="s">
        <v>51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6.7484999999999999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4.4013999999999998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2.9425499999999998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1.8660000000000001</v>
      </c>
      <c r="K1127" t="s">
        <v>51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0.84375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0.19495000000000001</v>
      </c>
      <c r="K1129" t="s">
        <v>51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-0.43515000000000004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-0.43964999999999999</v>
      </c>
      <c r="K1131" t="s">
        <v>51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-0.44989999999999997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-0.84375</v>
      </c>
      <c r="K1133" t="s">
        <v>51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-1.1695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7.54115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1.62375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1.2301500000000001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1.33395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8.9499999999999996E-3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1.4E-2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1.5699999999999999E-2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1.9299999999999998E-2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2.3949999999999999E-2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3.805E-2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5.0199999999999995E-2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5.6649999999999999E-2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6.964999999999999E-2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7.6399999999999996E-2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8.3699999999999997E-2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9.484999999999999E-2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0.10625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0.11605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0.12554999999999999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0.13140000000000002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0.13624999999999998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1.525E-2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2.0049999999999998E-2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2.0250000000000001E-2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2.5999999999999999E-2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3.2000000000000001E-2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4.265E-2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5.1049999999999998E-2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5.8300000000000005E-2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6.3699999999999993E-2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6.7900000000000002E-2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6.9500000000000006E-2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7.1300000000000002E-2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7.2649999999999992E-2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7.3200000000000001E-2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7.3000000000000009E-2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7.2450000000000001E-2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7.0800000000000002E-2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5.0000000000000001E-4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1.1000000000000001E-3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2.0499999999999997E-3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4.0000000000000001E-3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7.0499999999999998E-3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1.1349999999999999E-2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1.41E-2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1.6899999999999998E-2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1.9549999999999998E-2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2.0999999999999998E-2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2.2800000000000001E-2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2.5050000000000003E-2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2.7349999999999999E-2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2.9600000000000001E-2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3.1850000000000003E-2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3.4049999999999997E-2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3.56E-2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3.9799499999999997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4.1289999999999996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5.9999999999999995E-4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2.7499999999999998E-3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5.1000000000000004E-3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7.6E-3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1.065E-2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1.3299999999999999E-2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1.6399999999999998E-2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1.635E-2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1.7649999999999999E-2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1.67E-2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1.5800000000000002E-2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1.435E-2</v>
      </c>
      <c r="K1248" t="s">
        <v>85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1.285E-2</v>
      </c>
      <c r="K1249" t="s">
        <v>85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1.285E-2</v>
      </c>
      <c r="K1250" t="s">
        <v>85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1.2799999999999999E-2</v>
      </c>
      <c r="K1251" t="s">
        <v>85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1.49E-2</v>
      </c>
      <c r="K1252" t="s">
        <v>85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1.6549999999999999E-2</v>
      </c>
      <c r="K1253" t="s">
        <v>85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0.1477</v>
      </c>
      <c r="K1256" t="s">
        <v>45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0.8236</v>
      </c>
      <c r="K1257" t="s">
        <v>45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1.8891499999999999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3.1650499999999999</v>
      </c>
      <c r="K1259" t="s">
        <v>45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4.33535</v>
      </c>
      <c r="K1260" t="s">
        <v>45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4.6844000000000001</v>
      </c>
      <c r="K1261" t="s">
        <v>45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5.7951499999999996</v>
      </c>
      <c r="K1262" t="s">
        <v>45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6.2720000000000002</v>
      </c>
      <c r="K1263" t="s">
        <v>45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6.7835000000000001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7.0869</v>
      </c>
      <c r="K1265" t="s">
        <v>45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7.3611500000000003</v>
      </c>
      <c r="K1266" t="s">
        <v>45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7.3117000000000001</v>
      </c>
      <c r="K1267" t="s">
        <v>45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7.2489499999999998</v>
      </c>
      <c r="K1268" t="s">
        <v>45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6.7489500000000007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6.2336999999999998</v>
      </c>
      <c r="K1270" t="s">
        <v>45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5.4999999999999997E-3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3.5000000000000001E-3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2.5000000000000001E-3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1.5E-3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5.9999999999999995E-4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1.2999999999999999E-3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2E-3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2.3E-3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2.3E-3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1E-3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4.0000000000000002E-4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2.0000000000000001E-4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1E-4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1E-4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1E-4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5.0000000000000002E-5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0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0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0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56.074300000000001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38.538200000000003</v>
      </c>
      <c r="K1323" t="s">
        <v>37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63.425399999999996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67.593099999999993</v>
      </c>
      <c r="K1325" t="s">
        <v>37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73.853649999999988</v>
      </c>
      <c r="K1326" t="s">
        <v>37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79.936000000000007</v>
      </c>
      <c r="K1327" t="s">
        <v>37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67.469650000000001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117.73304999999999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170.36345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203.95495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237.54640000000001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239.86804999999998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242.18975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254.05045000000001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265.91125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285.61840000000001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305.32555000000002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5.3536999999999999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2025</v>
      </c>
      <c r="J1340">
        <v>6.2750500000000002</v>
      </c>
      <c r="K1340" t="s">
        <v>48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2030</v>
      </c>
      <c r="J1341">
        <v>8.3181499999999993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48</v>
      </c>
      <c r="E1342" t="s">
        <v>46</v>
      </c>
      <c r="F1342" t="s">
        <v>48</v>
      </c>
      <c r="G1342" t="s">
        <v>49</v>
      </c>
      <c r="H1342" t="s">
        <v>50</v>
      </c>
      <c r="I1342">
        <v>2035</v>
      </c>
      <c r="J1342">
        <v>10.9671</v>
      </c>
      <c r="K1342" t="s">
        <v>48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2040</v>
      </c>
      <c r="J1343">
        <v>14.742599999999999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48</v>
      </c>
      <c r="E1344" t="s">
        <v>46</v>
      </c>
      <c r="F1344" t="s">
        <v>48</v>
      </c>
      <c r="G1344" t="s">
        <v>49</v>
      </c>
      <c r="H1344" t="s">
        <v>50</v>
      </c>
      <c r="I1344">
        <v>2045</v>
      </c>
      <c r="J1344">
        <v>20.45035</v>
      </c>
      <c r="K1344" t="s">
        <v>48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2050</v>
      </c>
      <c r="J1345">
        <v>29.5977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48</v>
      </c>
      <c r="E1346" t="s">
        <v>46</v>
      </c>
      <c r="F1346" t="s">
        <v>48</v>
      </c>
      <c r="G1346" t="s">
        <v>49</v>
      </c>
      <c r="H1346" t="s">
        <v>50</v>
      </c>
      <c r="I1346">
        <v>2055</v>
      </c>
      <c r="J1346">
        <v>29.938600000000001</v>
      </c>
      <c r="K1346" t="s">
        <v>48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2060</v>
      </c>
      <c r="J1347">
        <v>28.915150000000001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48</v>
      </c>
      <c r="E1348" t="s">
        <v>46</v>
      </c>
      <c r="F1348" t="s">
        <v>48</v>
      </c>
      <c r="G1348" t="s">
        <v>49</v>
      </c>
      <c r="H1348" t="s">
        <v>50</v>
      </c>
      <c r="I1348">
        <v>2065</v>
      </c>
      <c r="J1348">
        <v>26.737349999999999</v>
      </c>
      <c r="K1348" t="s">
        <v>48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2070</v>
      </c>
      <c r="J1349">
        <v>23.532550000000001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48</v>
      </c>
      <c r="E1350" t="s">
        <v>46</v>
      </c>
      <c r="F1350" t="s">
        <v>48</v>
      </c>
      <c r="G1350" t="s">
        <v>49</v>
      </c>
      <c r="H1350" t="s">
        <v>50</v>
      </c>
      <c r="I1350">
        <v>2075</v>
      </c>
      <c r="J1350">
        <v>21.404</v>
      </c>
      <c r="K1350" t="s">
        <v>48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2080</v>
      </c>
      <c r="J1351">
        <v>19.100650000000002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48</v>
      </c>
      <c r="E1352" t="s">
        <v>46</v>
      </c>
      <c r="F1352" t="s">
        <v>48</v>
      </c>
      <c r="G1352" t="s">
        <v>49</v>
      </c>
      <c r="H1352" t="s">
        <v>50</v>
      </c>
      <c r="I1352">
        <v>2085</v>
      </c>
      <c r="J1352">
        <v>16.69725</v>
      </c>
      <c r="K1352" t="s">
        <v>48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2090</v>
      </c>
      <c r="J1353">
        <v>14.5845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2095</v>
      </c>
      <c r="J1354">
        <v>13.179349999999999</v>
      </c>
      <c r="K1354" t="s">
        <v>48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2100</v>
      </c>
      <c r="J1355">
        <v>11.572050000000001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2020</v>
      </c>
      <c r="J1356">
        <v>4.0717999999999996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51</v>
      </c>
      <c r="E1357" t="s">
        <v>46</v>
      </c>
      <c r="F1357" t="s">
        <v>51</v>
      </c>
      <c r="G1357" t="s">
        <v>49</v>
      </c>
      <c r="H1357" t="s">
        <v>50</v>
      </c>
      <c r="I1357">
        <v>2025</v>
      </c>
      <c r="J1357">
        <v>6.0095999999999998</v>
      </c>
      <c r="K1357" t="s">
        <v>51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2030</v>
      </c>
      <c r="J1358">
        <v>8.2434499999999993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51</v>
      </c>
      <c r="E1359" t="s">
        <v>46</v>
      </c>
      <c r="F1359" t="s">
        <v>51</v>
      </c>
      <c r="G1359" t="s">
        <v>49</v>
      </c>
      <c r="H1359" t="s">
        <v>50</v>
      </c>
      <c r="I1359">
        <v>2035</v>
      </c>
      <c r="J1359">
        <v>11.356300000000001</v>
      </c>
      <c r="K1359" t="s">
        <v>51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2040</v>
      </c>
      <c r="J1360">
        <v>15.58295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51</v>
      </c>
      <c r="E1361" t="s">
        <v>46</v>
      </c>
      <c r="F1361" t="s">
        <v>51</v>
      </c>
      <c r="G1361" t="s">
        <v>49</v>
      </c>
      <c r="H1361" t="s">
        <v>50</v>
      </c>
      <c r="I1361">
        <v>2045</v>
      </c>
      <c r="J1361">
        <v>21.253799999999998</v>
      </c>
      <c r="K1361" t="s">
        <v>51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2050</v>
      </c>
      <c r="J1362">
        <v>30.377050000000001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51</v>
      </c>
      <c r="E1363" t="s">
        <v>46</v>
      </c>
      <c r="F1363" t="s">
        <v>51</v>
      </c>
      <c r="G1363" t="s">
        <v>49</v>
      </c>
      <c r="H1363" t="s">
        <v>50</v>
      </c>
      <c r="I1363">
        <v>2055</v>
      </c>
      <c r="J1363">
        <v>30.537050000000001</v>
      </c>
      <c r="K1363" t="s">
        <v>51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2060</v>
      </c>
      <c r="J1364">
        <v>29.356450000000002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51</v>
      </c>
      <c r="E1365" t="s">
        <v>46</v>
      </c>
      <c r="F1365" t="s">
        <v>51</v>
      </c>
      <c r="G1365" t="s">
        <v>49</v>
      </c>
      <c r="H1365" t="s">
        <v>50</v>
      </c>
      <c r="I1365">
        <v>2065</v>
      </c>
      <c r="J1365">
        <v>26.9514</v>
      </c>
      <c r="K1365" t="s">
        <v>51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2070</v>
      </c>
      <c r="J1366">
        <v>23.531199999999998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51</v>
      </c>
      <c r="E1367" t="s">
        <v>46</v>
      </c>
      <c r="F1367" t="s">
        <v>51</v>
      </c>
      <c r="G1367" t="s">
        <v>49</v>
      </c>
      <c r="H1367" t="s">
        <v>50</v>
      </c>
      <c r="I1367">
        <v>2075</v>
      </c>
      <c r="J1367">
        <v>21.2819</v>
      </c>
      <c r="K1367" t="s">
        <v>51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2080</v>
      </c>
      <c r="J1368">
        <v>18.853400000000001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2085</v>
      </c>
      <c r="J1369">
        <v>15.7371</v>
      </c>
      <c r="K1369" t="s">
        <v>51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2090</v>
      </c>
      <c r="J1370">
        <v>12.917949999999999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51</v>
      </c>
      <c r="E1371" t="s">
        <v>46</v>
      </c>
      <c r="F1371" t="s">
        <v>51</v>
      </c>
      <c r="G1371" t="s">
        <v>49</v>
      </c>
      <c r="H1371" t="s">
        <v>50</v>
      </c>
      <c r="I1371">
        <v>2095</v>
      </c>
      <c r="J1371">
        <v>11.97185</v>
      </c>
      <c r="K1371" t="s">
        <v>51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10.823550000000001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5.6487499999999997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2.0613000000000001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1.9228499999999999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1.8188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1.8801999999999999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1.355E-2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1.4E-2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1.4200000000000001E-2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1.6E-2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1.84E-2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2.2599999999999999E-2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2.98E-2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3.7000000000000005E-2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4.5700000000000005E-2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5.2250000000000005E-2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5.96E-2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7.0900000000000005E-2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8.3250000000000005E-2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9.1299999999999992E-2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0.10114999999999999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0.1109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0.1202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1.8250000000000002E-2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1.7500000000000002E-2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1.7000000000000001E-2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2.0899999999999998E-2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2.76E-2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3.6949999999999997E-2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4.9200000000000001E-2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6.25E-2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7.3149999999999993E-2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8.1900000000000001E-2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9.1049999999999992E-2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9.7549999999999998E-2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0.1036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0.1048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0.10765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0.11169999999999999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0.1139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5.0000000000000001E-4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8.0000000000000004E-4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1.5E-3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2.5500000000000002E-3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3.3999999999999998E-3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4.4000000000000003E-3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6.0000000000000001E-3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8.3000000000000001E-3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1.035E-2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1.235E-2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1.4499999999999999E-2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1.6750000000000001E-2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1.925E-2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2.12E-2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2.4150000000000001E-2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2.7499999999999997E-2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3.0550000000000001E-2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2.9999999999999997E-4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1.4E-3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3.65E-3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6.7999999999999996E-3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1.0800000000000001E-2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1.485E-2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1.9349999999999999E-2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2.3400000000000001E-2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2.8299999999999999E-2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5.1049999999999998E-2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6.6650000000000001E-2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7.425000000000001E-2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7.7499999999999999E-2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7.7800000000000008E-2</v>
      </c>
      <c r="K1488" t="s">
        <v>85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7.6350000000000001E-2</v>
      </c>
      <c r="K1489" t="s">
        <v>85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7.4399999999999994E-2</v>
      </c>
      <c r="K1490" t="s">
        <v>85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7.1300000000000002E-2</v>
      </c>
      <c r="K1491" t="s">
        <v>85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0</v>
      </c>
      <c r="K1492" t="s">
        <v>45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2025</v>
      </c>
      <c r="J1493">
        <v>0</v>
      </c>
      <c r="K1493" t="s">
        <v>45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2030</v>
      </c>
      <c r="J1494">
        <v>0</v>
      </c>
      <c r="K1494" t="s">
        <v>45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2035</v>
      </c>
      <c r="J1495">
        <v>2.9999999999999997E-4</v>
      </c>
      <c r="K1495" t="s">
        <v>45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2040</v>
      </c>
      <c r="J1496">
        <v>1.4499999999999999E-3</v>
      </c>
      <c r="K1496" t="s">
        <v>45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2045</v>
      </c>
      <c r="J1497">
        <v>5.0000000000000001E-3</v>
      </c>
      <c r="K1497" t="s">
        <v>45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2050</v>
      </c>
      <c r="J1498">
        <v>6.7000000000000002E-3</v>
      </c>
      <c r="K1498" t="s">
        <v>45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2055</v>
      </c>
      <c r="J1499">
        <v>9.8500000000000011E-3</v>
      </c>
      <c r="K1499" t="s">
        <v>45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2060</v>
      </c>
      <c r="J1500">
        <v>1.2E-2</v>
      </c>
      <c r="K1500" t="s">
        <v>45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2065</v>
      </c>
      <c r="J1501">
        <v>1.585E-2</v>
      </c>
      <c r="K1501" t="s">
        <v>45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1.8599999999999998E-2</v>
      </c>
      <c r="K1502" t="s">
        <v>45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2075</v>
      </c>
      <c r="J1503">
        <v>2.3149999999999997E-2</v>
      </c>
      <c r="K1503" t="s">
        <v>45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2080</v>
      </c>
      <c r="J1504">
        <v>1.9950000000000002E-2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2085</v>
      </c>
      <c r="J1505">
        <v>1.2150000000000001E-2</v>
      </c>
      <c r="K1505" t="s">
        <v>45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2090</v>
      </c>
      <c r="J1506">
        <v>4.0499999999999998E-3</v>
      </c>
      <c r="K1506" t="s">
        <v>45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2095</v>
      </c>
      <c r="J1507">
        <v>2.15E-3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2100</v>
      </c>
      <c r="J1508">
        <v>0</v>
      </c>
      <c r="K1508" t="s">
        <v>45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2.3E-3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2E-3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1.8E-3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1.6000000000000001E-3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1.2999999999999999E-3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8.0000000000000004E-4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4.0000000000000002E-4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2.0000000000000001E-4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5.0000000000000001E-4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1.1000000000000001E-3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2.0999999999999999E-3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3.7000000000000002E-3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5.1999999999999998E-3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6.6E-3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7.6E-3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7.9000000000000008E-3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4.5000000000000005E-3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3.8999999999999998E-3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3.0000000000000001E-3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2.4499999999999999E-3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1.65E-3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1.9499999999999999E-3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2.3499999999999997E-3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2.3499999999999997E-3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2.2500000000000003E-3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0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0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0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56.074300000000001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66.460700000000003</v>
      </c>
      <c r="K1561" t="s">
        <v>37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73.562600000000003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82.234749999999991</v>
      </c>
      <c r="K1563" t="s">
        <v>37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88.685599999999994</v>
      </c>
      <c r="K1564" t="s">
        <v>37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93.331500000000005</v>
      </c>
      <c r="K1565" t="s">
        <v>37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104.79349999999999</v>
      </c>
      <c r="K1566" t="s">
        <v>37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116.2227</v>
      </c>
      <c r="K1567" t="s">
        <v>37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191.23865000000001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216.77500000000001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242.31130000000002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265.85630000000003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289.40129999999999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291.67954999999995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293.95775000000003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305.11424999999997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316.27075000000002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5.2523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6.5248000000000008</v>
      </c>
      <c r="K1578" t="s">
        <v>48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7.8542000000000005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8.4392999999999994</v>
      </c>
      <c r="K1580" t="s">
        <v>48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8.0441000000000003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4.6096000000000004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4.1333000000000002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3.2256999999999998</v>
      </c>
      <c r="K1584" t="s">
        <v>48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1.9738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0.87784999999999991</v>
      </c>
      <c r="K1586" t="s">
        <v>48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-0.37095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-0.44079999999999997</v>
      </c>
      <c r="K1588" t="s">
        <v>48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-0.54644999999999999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0.1353</v>
      </c>
      <c r="K1590" t="s">
        <v>48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0.94730000000000003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0.69300000000000006</v>
      </c>
      <c r="K1592" t="s">
        <v>48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0.53234999999999999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3.94665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6.1122999999999994</v>
      </c>
      <c r="K1595" t="s">
        <v>51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7.5158500000000004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8.55945</v>
      </c>
      <c r="K1597" t="s">
        <v>51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8.4752499999999991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5.0831499999999998</v>
      </c>
      <c r="K1599" t="s">
        <v>51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4.6255500000000005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3.6227999999999998</v>
      </c>
      <c r="K1601" t="s">
        <v>51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1.9508000000000001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0.84689999999999999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-0.40720000000000001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-0.65410000000000001</v>
      </c>
      <c r="K1605" t="s">
        <v>51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-0.93855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-0.76554999999999995</v>
      </c>
      <c r="K1607" t="s">
        <v>51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-0.46360000000000001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-0.48110000000000003</v>
      </c>
      <c r="K1609" t="s">
        <v>51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-0.40710000000000002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1.7697500000000002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1.43615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9.6499999999999989E-3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1.1900000000000001E-2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1.175E-2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1.3299999999999999E-2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1.61E-2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3.0100000000000002E-2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4.2349999999999999E-2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4.6899999999999997E-2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5.8950000000000002E-2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6.9450000000000012E-2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8.0449999999999994E-2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9.0900000000000009E-2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0.10165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0.10780000000000001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0.11360000000000001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0.12110000000000001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0.12840000000000001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1.1599999999999999E-2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1.52E-2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1.6799999999999999E-2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2.1399999999999999E-2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2.9150000000000002E-2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4.6649999999999997E-2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6.3649999999999998E-2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7.9949999999999993E-2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9.425E-2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0.10755000000000001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0.11985000000000001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0.12440000000000001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0.12859999999999999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0.128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0.1268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0.12820000000000001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0.12840000000000001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4.0000000000000002E-4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8.0000000000000004E-4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1.5E-3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2.5999999999999999E-3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4.7000000000000002E-3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7.9500000000000005E-3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1.12E-2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1.285E-2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1.52E-2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1.78E-2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2.0650000000000002E-2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2.2850000000000002E-2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2.5250000000000002E-2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2.7400000000000001E-2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2.9499999999999998E-2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3.2299999999999995E-2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3.4850000000000006E-2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5.7446000000000002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2.0000000000000001E-4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1.4499999999999999E-3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5.3E-3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9.8999999999999991E-3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1.77E-2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2.2850000000000002E-2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2.8549999999999999E-2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3.32E-2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3.9849999999999997E-2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4.19E-2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4.3549999999999998E-2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4.8750000000000002E-2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5.3599999999999995E-2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5.7499999999999996E-2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0.06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5.7950000000000002E-2</v>
      </c>
      <c r="K1728" t="s">
        <v>85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5.5500000000000001E-2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45</v>
      </c>
      <c r="E1730" t="s">
        <v>46</v>
      </c>
      <c r="F1730" t="s">
        <v>45</v>
      </c>
      <c r="G1730" t="s">
        <v>47</v>
      </c>
      <c r="H1730" t="s">
        <v>89</v>
      </c>
      <c r="I1730">
        <v>2020</v>
      </c>
      <c r="J1730">
        <v>0</v>
      </c>
      <c r="K1730" t="s">
        <v>45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2025</v>
      </c>
      <c r="J1731">
        <v>0</v>
      </c>
      <c r="K1731" t="s">
        <v>45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45</v>
      </c>
      <c r="E1732" t="s">
        <v>46</v>
      </c>
      <c r="F1732" t="s">
        <v>45</v>
      </c>
      <c r="G1732" t="s">
        <v>47</v>
      </c>
      <c r="H1732" t="s">
        <v>89</v>
      </c>
      <c r="I1732">
        <v>2030</v>
      </c>
      <c r="J1732">
        <v>0.46235000000000004</v>
      </c>
      <c r="K1732" t="s">
        <v>45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45</v>
      </c>
      <c r="E1733" t="s">
        <v>46</v>
      </c>
      <c r="F1733" t="s">
        <v>45</v>
      </c>
      <c r="G1733" t="s">
        <v>47</v>
      </c>
      <c r="H1733" t="s">
        <v>89</v>
      </c>
      <c r="I1733">
        <v>2035</v>
      </c>
      <c r="J1733">
        <v>4.4649999999999999</v>
      </c>
      <c r="K1733" t="s">
        <v>45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45</v>
      </c>
      <c r="E1734" t="s">
        <v>46</v>
      </c>
      <c r="F1734" t="s">
        <v>45</v>
      </c>
      <c r="G1734" t="s">
        <v>47</v>
      </c>
      <c r="H1734" t="s">
        <v>89</v>
      </c>
      <c r="I1734">
        <v>2040</v>
      </c>
      <c r="J1734">
        <v>9.0425500000000003</v>
      </c>
      <c r="K1734" t="s">
        <v>45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45</v>
      </c>
      <c r="E1735" t="s">
        <v>46</v>
      </c>
      <c r="F1735" t="s">
        <v>45</v>
      </c>
      <c r="G1735" t="s">
        <v>47</v>
      </c>
      <c r="H1735" t="s">
        <v>89</v>
      </c>
      <c r="I1735">
        <v>2045</v>
      </c>
      <c r="J1735">
        <v>12.44885</v>
      </c>
      <c r="K1735" t="s">
        <v>45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45</v>
      </c>
      <c r="E1736" t="s">
        <v>46</v>
      </c>
      <c r="F1736" t="s">
        <v>45</v>
      </c>
      <c r="G1736" t="s">
        <v>47</v>
      </c>
      <c r="H1736" t="s">
        <v>89</v>
      </c>
      <c r="I1736">
        <v>2050</v>
      </c>
      <c r="J1736">
        <v>13.8063</v>
      </c>
      <c r="K1736" t="s">
        <v>45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45</v>
      </c>
      <c r="E1737" t="s">
        <v>46</v>
      </c>
      <c r="F1737" t="s">
        <v>45</v>
      </c>
      <c r="G1737" t="s">
        <v>47</v>
      </c>
      <c r="H1737" t="s">
        <v>89</v>
      </c>
      <c r="I1737">
        <v>2055</v>
      </c>
      <c r="J1737">
        <v>14.00215</v>
      </c>
      <c r="K1737" t="s">
        <v>45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2060</v>
      </c>
      <c r="J1738">
        <v>13.262449999999999</v>
      </c>
      <c r="K1738" t="s">
        <v>45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45</v>
      </c>
      <c r="E1739" t="s">
        <v>46</v>
      </c>
      <c r="F1739" t="s">
        <v>45</v>
      </c>
      <c r="G1739" t="s">
        <v>47</v>
      </c>
      <c r="H1739" t="s">
        <v>89</v>
      </c>
      <c r="I1739">
        <v>2065</v>
      </c>
      <c r="J1739">
        <v>12.3996</v>
      </c>
      <c r="K1739" t="s">
        <v>45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2070</v>
      </c>
      <c r="J1740">
        <v>12.2028</v>
      </c>
      <c r="K1740" t="s">
        <v>45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45</v>
      </c>
      <c r="E1741" t="s">
        <v>46</v>
      </c>
      <c r="F1741" t="s">
        <v>45</v>
      </c>
      <c r="G1741" t="s">
        <v>47</v>
      </c>
      <c r="H1741" t="s">
        <v>89</v>
      </c>
      <c r="I1741">
        <v>2075</v>
      </c>
      <c r="J1741">
        <v>11.28585</v>
      </c>
      <c r="K1741" t="s">
        <v>45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45</v>
      </c>
      <c r="E1742" t="s">
        <v>46</v>
      </c>
      <c r="F1742" t="s">
        <v>45</v>
      </c>
      <c r="G1742" t="s">
        <v>47</v>
      </c>
      <c r="H1742" t="s">
        <v>89</v>
      </c>
      <c r="I1742">
        <v>2080</v>
      </c>
      <c r="J1742">
        <v>8.2821999999999996</v>
      </c>
      <c r="K1742" t="s">
        <v>45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45</v>
      </c>
      <c r="E1743" t="s">
        <v>46</v>
      </c>
      <c r="F1743" t="s">
        <v>45</v>
      </c>
      <c r="G1743" t="s">
        <v>47</v>
      </c>
      <c r="H1743" t="s">
        <v>89</v>
      </c>
      <c r="I1743">
        <v>2085</v>
      </c>
      <c r="J1743">
        <v>6.9209499999999995</v>
      </c>
      <c r="K1743" t="s">
        <v>45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45</v>
      </c>
      <c r="E1744" t="s">
        <v>46</v>
      </c>
      <c r="F1744" t="s">
        <v>45</v>
      </c>
      <c r="G1744" t="s">
        <v>47</v>
      </c>
      <c r="H1744" t="s">
        <v>89</v>
      </c>
      <c r="I1744">
        <v>2090</v>
      </c>
      <c r="J1744">
        <v>5.4736500000000001</v>
      </c>
      <c r="K1744" t="s">
        <v>45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2095</v>
      </c>
      <c r="J1745">
        <v>4.5164000000000009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45</v>
      </c>
      <c r="E1746" t="s">
        <v>46</v>
      </c>
      <c r="F1746" t="s">
        <v>45</v>
      </c>
      <c r="G1746" t="s">
        <v>47</v>
      </c>
      <c r="H1746" t="s">
        <v>89</v>
      </c>
      <c r="I1746">
        <v>2100</v>
      </c>
      <c r="J1746">
        <v>3.5046499999999998</v>
      </c>
      <c r="K1746" t="s">
        <v>45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1.5E-3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1.1000000000000001E-3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6.9999999999999999E-4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4.0000000000000002E-4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2.9999999999999997E-4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2.9999999999999997E-4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5.9999999999999995E-4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6.9999999999999999E-4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5.0000000000000001E-4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4.0000000000000002E-4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2.0000000000000001E-4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1E-4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1E-4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0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0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0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56.074300000000001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51.978499999999997</v>
      </c>
      <c r="K1799" t="s">
        <v>37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71.533199999999994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75.742449999999991</v>
      </c>
      <c r="K1801" t="s">
        <v>37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81.774000000000001</v>
      </c>
      <c r="K1802" t="s">
        <v>37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66.936000000000007</v>
      </c>
      <c r="K1803" t="s">
        <v>37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105.24250000000001</v>
      </c>
      <c r="K1804" t="s">
        <v>37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111.64095</v>
      </c>
      <c r="K1805" t="s">
        <v>37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160.79974999999999</v>
      </c>
      <c r="K1806" t="s">
        <v>37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184.7131</v>
      </c>
      <c r="K1807" t="s">
        <v>37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208.62645000000001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216.03665000000001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223.4469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214.56394999999998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205.68105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223.73480000000001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241.78854999999999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0.1062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0.36180000000000001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0.86750000000000005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1.6658999999999999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3.0790000000000002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1.5900000000000001E-2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1.34E-2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1.2200000000000001E-2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1.24E-2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1.1299999999999999E-2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1.77E-2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2.7099999999999999E-2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1.0999999999999999E-2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1.17E-2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1.2699999999999999E-2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1.7100000000000001E-2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2.5100000000000001E-2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3.5099999999999999E-2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6.9999999999999999E-4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6.9999999999999999E-4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8.0000000000000004E-4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1.2999999999999999E-3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2.3999999999999998E-3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4.1999999999999997E-3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7.9000000000000008E-3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1.1000000000000001E-3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3.0999999999999999E-3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7.4999999999999997E-3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0.11279999999999998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0.12219999999999999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5.5000000000000005E-3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2.2000000000000002E-2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3.2999999999999995E-2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6.5999999999999989E-2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0.13199999999999998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0.18149999999999999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0.22550000000000001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1.4567000000000001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1.5658000000000001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4.8304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5.4627999999999997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8.1446000000000005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7.3426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8.3400999999999996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1.2613000000000001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1.2619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1.6134999999999999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2.3338999999999999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2.4314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2.1600999999999999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2.2212000000000001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2.4499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2.6602000000000001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2.8797000000000001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3.2082000000000002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3.5455000000000001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2.2349999999999999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4.0782999999999996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3.577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4.1816000000000004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4.1230000000000002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4.7144000000000004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4.6586999999999996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3.5901000000000001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3.5926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4.2820999999999998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5.1852999999999998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6.4257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8.4393999999999991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10.8782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2.2282000000000002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3.2725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4.1607000000000003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5.5785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7.3036000000000003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9.2931000000000008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11.7005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1.6500000000000001E-2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1.5699999999999999E-2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1.4E-2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1.7899999999999999E-2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1.7100000000000001E-2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1.7999999999999999E-2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2.12E-2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1.41E-2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1.0699999999999999E-2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1.3899999999999999E-2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1.2999999999999999E-2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1.6E-2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2.06E-2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2.52E-2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1.4E-3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6.9999999999999999E-4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8.9999999999999998E-4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1.5E-3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1.6000000000000001E-3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2.0999999999999999E-3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0.41360000000000002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0.31019999999999998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0.25380000000000003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0.12219999999999999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4.7E-2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9.4000000000000004E-3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3.2999999999999995E-2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6.5999999999999989E-2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0.13750000000000001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0.28599999999999998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0.39050000000000001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0.47849999999999998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0.76449999999999996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1.4567000000000001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1.6177999999999999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3.9929999999999999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2.4819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4.1707000000000001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2.6787999999999998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1.2613000000000001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1.3259000000000001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1.4076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1.6194999999999999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1.6993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1.5728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1.6851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2.1600999999999999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2.2334999999999998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2.3765000000000001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2.5419999999999998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2.8147000000000002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3.0045000000000002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3.4449999999999998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2.2349999999999999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4.1003999999999996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4.12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4.3750999999999998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4.8352000000000004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5.2949999999999999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5.7755999999999998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3.6408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3.3052000000000001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4.3011999999999997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5.5632999999999999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7.1295999999999999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10.6205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19.607099999999999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2.3180000000000001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3.1421000000000001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4.4061000000000003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6.3324999999999996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8.5906000000000002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12.2416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21.345800000000001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0.27439999999999998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0.70909999999999995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1.4554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2.7292000000000001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1.6400000000000001E-2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1.55E-2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1.37E-2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1.26E-2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1.1599999999999999E-2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1.6500000000000001E-2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2.87E-2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1.41E-2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1.0699999999999999E-2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1.34E-2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1.15E-2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1.55E-2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2.3599999999999999E-2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3.3300000000000003E-2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1.4E-3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6.9999999999999999E-4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8.0000000000000004E-4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2.8999999999999998E-3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5.4000000000000003E-3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9.4000000000000004E-3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5.9999999999999995E-4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2.2000000000000001E-3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5.3E-3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1.17E-2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0.32900000000000001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0.27259999999999995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0.19739999999999999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2.75E-2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5.5E-2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0.11549999999999999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3.85E-2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5.5E-2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6.0500000000000005E-2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6.0500000000000005E-2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1.4567000000000001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1.6177999999999999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3.9929999999999999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7.0420999999999996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9.2347999999999999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8.8897999999999993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1.2613000000000001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1.3259000000000001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1.4076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2.1819999999999999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2.8927999999999998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2.6505000000000001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3.3403999999999998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2.1600999999999999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2.2334999999999998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2.3765000000000001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2.7389999999999999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2.96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3.2930000000000001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3.694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2.2349999999999999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4.1003999999999996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4.12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4.3330000000000002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4.0993000000000004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4.7759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4.3800999999999997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3.6202000000000001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3.3593000000000002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4.4122000000000003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4.2518000000000002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5.2336999999999998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7.0151000000000003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9.9444999999999997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2.3006000000000002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3.1055000000000001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4.3303000000000003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4.6520999999999999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6.1058000000000003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7.8571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10.7174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4.0000000000000002E-4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0.1341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0.35420000000000001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0.99070000000000003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1.6500000000000001E-2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1.52E-2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1.17E-2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1.3100000000000001E-2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1.2800000000000001E-2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1.2699999999999999E-2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1.83E-2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1.2500000000000001E-2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8.8999999999999999E-3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1.2699999999999999E-2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1.35E-2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1.54E-2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2.1100000000000001E-2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2.64E-2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8.0000000000000004E-4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3.3999999999999998E-3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6.1999999999999998E-3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0.16919999999999999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0.12219999999999999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0.10340000000000001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9.4000000000000004E-3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1.1000000000000001E-2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2.75E-2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6.0500000000000005E-2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0.11549999999999999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0.18149999999999999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0.27500000000000002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0.34650000000000003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1.4567000000000001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1.6177999999999999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3.9929999999999999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11.5146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1.2613000000000001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1.3259000000000001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1.4076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2.1375999999999999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1.8723000000000001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1.8866000000000001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2.8264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2.1600999999999999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2.2334999999999998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2.3765000000000001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2.9554999999999998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2.8641000000000001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3.1072000000000002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3.6869000000000001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2.2349999999999999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4.1003999999999996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4.12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5.0217999999999998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4.5254000000000003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5.2186000000000003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5.9955999999999996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3.4811000000000001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3.101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4.3582000000000001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5.6330999999999998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7.1898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10.132999999999999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15.0814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2.1211000000000002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2.8805999999999998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4.4294000000000002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6.3566000000000003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8.5131999999999994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11.554600000000001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16.556799999999999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0.63109999999999999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1.4716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2.6331000000000002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4.0952999999999999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5.7050999999999998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1.6299999999999999E-2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1.2800000000000001E-2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1.6500000000000001E-2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2.1600000000000001E-2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2.5100000000000001E-2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2.69E-2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1.3899999999999999E-2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1.7100000000000001E-2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1.7500000000000002E-2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2.24E-2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3.6999999999999998E-2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4.2599999999999999E-2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5.0299999999999997E-2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8.9999999999999998E-4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1.1999999999999999E-3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2.3999999999999998E-3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5.7999999999999996E-3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1.2800000000000001E-2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1.9199999999999998E-2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2.07E-2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1.9E-3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4.1000000000000003E-3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8.3000000000000001E-3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1.7000000000000001E-2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2.6499999999999999E-2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0.68620000000000003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0.64859999999999995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1.8800000000000001E-2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5.5E-2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0.13199999999999998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0.1045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4.4000000000000004E-2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9.8999999999999991E-2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0.1265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0.12100000000000001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1.4567000000000001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1.5658000000000001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13.4625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18.413599999999999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17.232800000000001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1.2613000000000001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1.2619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3.7263000000000002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4.8419999999999996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5.3133999999999997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6.2083000000000004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5.3627000000000002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2.1600999999999999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2.2212000000000001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0.31909999999999999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2.4256000000000002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3.5181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3.9782000000000002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2.2349999999999999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4.0782999999999996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1.9999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3.8159000000000001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7.8609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2.9281999999999999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3.8005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4.4066999999999998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3.661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3.2947000000000002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2.7159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2.1838000000000002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2.3378999999999999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2.4079999999999999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3.9148000000000001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3.3738000000000001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3.2359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3.0390000000000001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2.8416000000000001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3.3721999999999999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1.6799999999999999E-2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1.3899999999999999E-2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1.14E-2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1.37E-2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1.4200000000000001E-2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1.83E-2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2.52E-2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1.06E-2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1.2800000000000001E-2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1.37E-2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1.5900000000000001E-2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1.8800000000000001E-2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2.3099999999999999E-2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1.1000000000000001E-3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1.6999999999999999E-3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2.2000000000000001E-3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4.4000000000000003E-3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0.2162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0.22559999999999997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0.15040000000000001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9.4E-2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2.8199999999999996E-2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9.4000000000000004E-3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9.4000000000000004E-3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1.6499999999999997E-2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4.4000000000000004E-2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9.35E-2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0.20350000000000001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0.29700000000000004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0.43450000000000005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0.74249999999999994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1.4567000000000001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1.5658000000000001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3.3275999999999999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3.2294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5.6603000000000003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6.0263999999999998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1.2613000000000001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1.2619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1.343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1.5053000000000001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1.583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1.8196000000000001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1.8251999999999999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2.1600999999999999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2.2212000000000001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2.3780999999999999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2.6924000000000001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2.8281000000000001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3.2869000000000002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3.4897999999999998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2.2349999999999999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4.0782999999999996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4.0960999999999999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4.5590000000000002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4.5087000000000002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5.3421000000000003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5.4485000000000001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3.5348000000000002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3.5935000000000001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4.6817000000000002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6.2431999999999999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7.9013999999999998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11.152900000000001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17.6372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2.1644999999999999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3.3241999999999998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4.7306999999999997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6.9234999999999998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9.1882999999999999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12.5138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19.019500000000001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0.60640000000000005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1.6924999999999999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2.8733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3.0118999999999998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3.8767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1.5699999999999999E-2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1.26E-2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1.03E-2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1.34E-2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2.1000000000000001E-2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3.8699999999999998E-2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5.2900000000000003E-2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1.0999999999999999E-2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1.0699999999999999E-2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1.32E-2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1.7500000000000002E-2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2.4199999999999999E-2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3.2099999999999997E-2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4.48E-2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1.6000000000000001E-3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3.5000000000000001E-3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6.4999999999999997E-3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9.4000000000000004E-3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1.24E-2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1.8E-3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5.7000000000000002E-3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1.04E-2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1.8499999999999999E-2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2.5000000000000001E-2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0.16919999999999999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0.16919999999999999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1.1000000000000001E-2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3.2999999999999995E-2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4.9499999999999995E-2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2.2000000000000002E-2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5.5E-2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1.4567000000000001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1.5658000000000001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34.658700000000003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40.086599999999997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40.713799999999999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1.2613000000000001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1.2619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9.7329000000000008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9.9440000000000008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11.2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11.162000000000001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9.4883000000000006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2.1600999999999999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2.2212000000000001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5.6520000000000001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0.72760000000000002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4.8739999999999997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5.5965999999999996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6.4611000000000001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2.2349999999999999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4.0782999999999996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6.0044000000000004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4.6619999999999999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8.8016000000000005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2.9769000000000001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3.7044999999999999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3.6343000000000001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3.8460999999999999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4.0216000000000003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3.6884999999999999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3.3235999999999999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3.3984999999999999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4.0458999999999996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2.2608999999999999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3.4095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3.7202000000000002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3.7623000000000002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3.7953000000000001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3.9358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4.4477000000000002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0.2082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1.4593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4.1593999999999998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7.2694999999999999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9.4202999999999992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9.7761999999999993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7.5702999999999996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6.1863999999999999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4.7294999999999998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3.3898999999999999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2.02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1.2465999999999999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0.46800000000000003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0.32029999999999997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0.1651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1.55E-2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1.7000000000000001E-2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1.6799999999999999E-2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2.2499999999999999E-2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2.8299999999999999E-2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3.8699999999999998E-2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5.21E-2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6.6400000000000001E-2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7.7899999999999997E-2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8.9300000000000004E-2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0.1013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0.1067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0.1111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0.1133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0.11509999999999999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0.1188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0.121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1.21E-2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1.35E-2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1.2999999999999999E-2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1.5800000000000002E-2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1.8100000000000002E-2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2.2200000000000001E-2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2.9499999999999998E-2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3.73E-2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4.9000000000000002E-2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5.8400000000000001E-2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6.8699999999999997E-2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7.8899999999999998E-2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8.9499999999999996E-2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9.8500000000000004E-2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0.1079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0.1178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0.1273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5.0000000000000001E-4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6.9999999999999999E-4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2.5000000000000001E-3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3.5000000000000001E-3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4.8999999999999998E-3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7.3000000000000001E-3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9.7000000000000003E-3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1.18E-2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1.4200000000000001E-2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1.6799999999999999E-2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1.9199999999999998E-2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2.1899999999999999E-2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2.4400000000000002E-2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2.69E-2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3.04E-2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3.3599999999999998E-2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2.9999999999999997E-4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1.4E-3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4.4999999999999997E-3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9.4999999999999998E-3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1.41E-2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2.5600000000000001E-2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2.8000000000000001E-2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4.1000000000000002E-2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4.6699999999999998E-2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4.8399999999999999E-2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5.1200000000000002E-2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4.7800000000000002E-2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4.5199999999999997E-2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4.0899999999999999E-2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3.73E-2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3.32E-2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1.2999999999999999E-3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6.9999999999999999E-4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4.0000000000000002E-4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2.9999999999999997E-4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4.0000000000000002E-4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6.9999999999999999E-4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8.0000000000000004E-4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4.0000000000000002E-4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4.0000000000000002E-4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4.0000000000000002E-4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4.0000000000000002E-4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4.0000000000000002E-4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2.0000000000000001E-4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1E-4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1E-4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56.074300000000001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60.266800000000003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74.063199999999995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78.308099999999996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84.741399999999999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87.655299999999997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99.593599999999995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111.973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181.7011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214.38910000000001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247.0771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268.62729999999999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290.17750000000001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318.87920000000003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347.58089999999999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383.53750000000002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419.49400000000003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5.2256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6.0159000000000002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7.4260999999999999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9.5131999999999994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11.142799999999999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13.6912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17.656300000000002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15.063000000000001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12.3279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10.7181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8.8115000000000006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6.6837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4.5712000000000002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4.6520000000000001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4.7770000000000001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3.5958999999999999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2.4014000000000002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3.9331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5.6891999999999996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7.2342000000000004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9.8252000000000006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11.8926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14.488899999999999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18.5029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15.7361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12.5733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10.804399999999999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8.7376000000000005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6.36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3.9893999999999998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3.2725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2.5996000000000001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2.0103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1.4031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1.78E-2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1.78E-2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2.3099999999999999E-2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3.0499999999999999E-2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3.9399999999999998E-2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4.9799999999999997E-2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5.8700000000000002E-2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6.6799999999999998E-2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7.3099999999999998E-2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7.9699999999999993E-2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8.48E-2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8.9599999999999999E-2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9.4799999999999995E-2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9.9699999999999997E-2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0.10340000000000001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0.1056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1.47E-2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1.4800000000000001E-2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1.54E-2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1.7899999999999999E-2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2.07E-2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2.4799999999999999E-2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3.1E-2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3.5700000000000003E-2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4.41E-2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4.9299999999999997E-2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5.5500000000000001E-2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6.4100000000000004E-2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7.3200000000000001E-2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8.2900000000000001E-2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9.3100000000000002E-2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0.1009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0.10829999999999999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5.0000000000000001E-4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8.9999999999999998E-4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1.6000000000000001E-3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2.7000000000000001E-3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3.7000000000000002E-3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4.5999999999999999E-3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6.1000000000000004E-3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7.7000000000000002E-3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9.1999999999999998E-3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1.0800000000000001E-2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1.24E-2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1.4500000000000001E-2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1.6899999999999998E-2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1.9400000000000001E-2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2.2100000000000002E-2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2.52E-2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2.7799999999999998E-2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2.9999999999999997E-4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1.4E-3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3.5999999999999999E-3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6.4999999999999997E-3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9.9000000000000008E-3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1.32E-2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1.6299999999999999E-2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1.77E-2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1.8599999999999998E-2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1.9199999999999998E-2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2.0199999999999999E-2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2.1299999999999999E-2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2.5600000000000001E-2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2.9899999999999999E-2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4.1700000000000001E-2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5.2900000000000003E-2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3.2000000000000002E-3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2.8999999999999998E-3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1.6999999999999999E-3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1.1000000000000001E-3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8.0000000000000004E-4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5.9999999999999995E-4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8.0000000000000004E-4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1.5E-3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3.0999999999999999E-3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5.7000000000000002E-3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8.8999999999999999E-3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1.2500000000000001E-2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1.6299999999999999E-2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1.9400000000000001E-2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2.1700000000000001E-2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2.18E-2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2.1399999999999999E-2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1.9400000000000001E-2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1.6500000000000001E-2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1.49E-2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1.2699999999999999E-2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1.0500000000000001E-2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56.074300000000001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66.789100000000005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75.3339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85.170599999999993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94.949799999999996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98.349599999999995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105.5684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110.6143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176.8544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188.74789999999999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200.6413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210.94659999999999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221.25200000000001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235.57839999999999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249.90479999999999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282.18490000000003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314.46510000000001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5.3177000000000003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5.9427000000000003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7.8407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10.5855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14.793699999999999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22.356400000000001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37.977600000000002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44.896299999999997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54.262700000000002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58.137599999999999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61.787399999999998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64.017899999999997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66.272300000000001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65.433000000000007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64.282600000000002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57.6004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50.997900000000001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4.0481999999999996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5.7122000000000002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7.8048999999999999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11.097799999999999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15.857200000000001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23.4983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39.213999999999999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45.944400000000002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55.1447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58.968299999999999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62.570099999999996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64.744100000000003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66.942400000000006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65.3703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63.490600000000001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57.2791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51.150300000000001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2.7000000000000001E-3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0.45400000000000001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2.4803000000000002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4.2496999999999998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4.0176999999999996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4.1638999999999999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4.6938000000000004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5.3182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5.3949999999999996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5.4805000000000001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4.6418999999999997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3.7490000000000001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3.0476000000000001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2.2349000000000001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1.1599999999999999E-2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1.24E-2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1.6199999999999999E-2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1.61E-2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2.6100000000000002E-2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4.02E-2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5.6899999999999999E-2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7.4399999999999994E-2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9.11E-2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0.1052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0.11840000000000001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0.1205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0.12230000000000001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0.1221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0.1216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0.1232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0.1232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9.7999999999999997E-3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1.0699999999999999E-2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1.2800000000000001E-2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1.2200000000000001E-2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1.4200000000000001E-2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2.12E-2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3.5200000000000002E-2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4.4299999999999999E-2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5.8599999999999999E-2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6.9199999999999998E-2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8.0299999999999996E-2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8.8700000000000001E-2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9.7299999999999998E-2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0.10489999999999999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0.11260000000000001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0.1196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0.12609999999999999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4.0000000000000002E-4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5.9999999999999995E-4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1.2999999999999999E-3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1.9E-3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3.3999999999999998E-3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6.1000000000000004E-3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8.6E-3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1.1299999999999999E-2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1.37E-2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1.6299999999999999E-2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1.9099999999999999E-2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2.1000000000000001E-2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2.3199999999999998E-2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2.52E-2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2.7300000000000001E-2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3.0200000000000001E-2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3.27E-2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2.0000000000000001E-4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1.2999999999999999E-3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3.5999999999999999E-3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6.3E-3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1.23E-2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1.8599999999999998E-2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2.69E-2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3.3700000000000001E-2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4.02E-2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4.1700000000000001E-2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4.0800000000000003E-2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4.4900000000000002E-2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4.9000000000000002E-2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5.11E-2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5.3199999999999997E-2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5.16E-2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4.9700000000000001E-2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1.5E-3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1.1000000000000001E-3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6.9999999999999999E-4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4.0000000000000002E-4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5.0000000000000001E-4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2.9999999999999997E-4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2.9999999999999997E-4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5.0000000000000001E-4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8.9999999999999998E-4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2.3E-3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1.6999999999999999E-3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6.9999999999999999E-4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2.0000000000000001E-4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56.074300000000001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66.789100000000005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75.3339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57.565399999999997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84.912899999999993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96.081800000000001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89.106499999999997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140.88650000000001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194.3081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251.34690000000001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308.38560000000001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370.69510000000002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433.00459999999998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437.12430000000001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441.24400000000003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464.3732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487.5025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5.2587000000000002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6.2476000000000003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9.0931999999999995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10.964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11.8848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10.555400000000001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8.5829000000000004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4.4206000000000003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-9.2399999999999996E-2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-2.2595999999999998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-4.7206000000000001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-5.8681000000000001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-7.0740999999999996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-5.3952999999999998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-3.6776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-3.0804999999999998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-2.3818999999999999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3.9546999999999999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5.8757999999999999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8.7973999999999997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11.2805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12.5627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11.3766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9.4854000000000003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5.1669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0.37690000000000001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-1.9012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-4.4725999999999999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-5.7880000000000003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-7.1641000000000004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-6.2561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-5.3093000000000004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-4.1882000000000001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-2.9691999999999998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7.3000000000000001E-3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0.57650000000000001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3.6701000000000001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6.2173999999999996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8.3124000000000002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10.515499999999999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9.3124000000000002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8.2044999999999995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6.3112000000000004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4.4538000000000002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2.9306000000000001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1.3987000000000001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0.78969999999999996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0.2069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1.35E-2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1.4E-2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1.61E-2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1.95E-2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3.0099999999999998E-2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4.1599999999999998E-2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5.2299999999999999E-2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6.4699999999999994E-2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7.7499999999999999E-2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8.9300000000000004E-2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0.1014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0.1062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0.11020000000000001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0.1129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0.11509999999999999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0.1182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0.1201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1.0800000000000001E-2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1.17E-2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1.29E-2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1.4E-2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1.6199999999999999E-2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2.3699999999999999E-2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3.0300000000000001E-2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3.7999999999999999E-2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4.9299999999999997E-2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5.8999999999999997E-2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6.9800000000000001E-2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7.9100000000000004E-2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8.8700000000000001E-2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9.8000000000000004E-2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0.1075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0.1163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0.125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4.0000000000000002E-4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6.9999999999999999E-4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1.2999999999999999E-3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2.3E-3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4.1000000000000003E-3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6.1000000000000004E-3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8.0000000000000002E-3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9.7999999999999997E-3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1.2E-2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1.4200000000000001E-2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1.66E-2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1.8700000000000001E-2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2.1100000000000001E-2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2.3400000000000001E-2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2.5899999999999999E-2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2.9000000000000001E-2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3.2000000000000001E-2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2.9999999999999997E-4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1.2999999999999999E-3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3.5000000000000001E-3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1.37E-2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2.1299999999999999E-2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2.8000000000000001E-2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3.2000000000000001E-2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3.6900000000000002E-2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3.85E-2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4.4699999999999997E-2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4.6300000000000001E-2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4.7399999999999998E-2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4.5999999999999999E-2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4.3400000000000001E-2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4.0099999999999997E-2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1.1000000000000001E-3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8.9999999999999998E-4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5.9999999999999995E-4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2.0000000000000001E-4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4.0000000000000002E-4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6.9999999999999999E-4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1.2999999999999999E-3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2.5000000000000001E-3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4.8999999999999998E-3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5.4000000000000003E-3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2.8E-3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1.6999999999999999E-3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4.0000000000000002E-4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4.0000000000000002E-4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4.0000000000000002E-4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1E-4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56.074300000000001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66.789100000000005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75.3339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57.872100000000003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77.280199999999994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81.996700000000004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106.3197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119.22320000000001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180.07149999999999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218.36099999999999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256.65050000000002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280.28680000000003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303.923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307.60000000000002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311.27690000000001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337.82470000000001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364.37259999999998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5.1974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5.8757000000000001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8.1424000000000003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10.7013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12.329700000000001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14.5992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19.270900000000001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16.119399999999999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12.9879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11.034000000000001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8.8873999999999995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7.1277999999999997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5.3992000000000004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5.4531999999999998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5.5289000000000001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4.7603999999999997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4.0327999999999999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3.9053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5.6275000000000004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8.0626999999999995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11.1937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13.3169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15.6905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20.443000000000001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17.337299999999999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14.0847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11.898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9.5190000000000001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7.6220999999999997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5.7497999999999996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5.0083000000000002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4.2866999999999997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3.9798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3.7094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0.15429999999999999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0.88839999999999997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1.929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3.0284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4.0354000000000001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4.66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5.6516000000000002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6.1786000000000003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6.7295999999999996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7.0726000000000004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7.3878000000000004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7.4101999999999997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7.4154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6.9267000000000003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6.4212999999999996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1.47E-2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2.07E-2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2.6499999999999999E-2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3.27E-2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4.24E-2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5.0799999999999998E-2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5.74E-2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6.2199999999999998E-2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6.6299999999999998E-2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6.7900000000000002E-2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6.9800000000000001E-2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7.1199999999999999E-2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7.2099999999999997E-2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7.22E-2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7.1400000000000005E-2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6.9599999999999995E-2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8.8999999999999999E-3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1.4E-2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1.5699999999999999E-2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1.8499999999999999E-2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2.1999999999999999E-2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3.3599999999999998E-2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4.8099999999999997E-2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5.5399999999999998E-2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6.7799999999999999E-2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7.4399999999999994E-2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8.1699999999999995E-2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9.2799999999999994E-2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0.1042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0.1145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0.1245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0.13020000000000001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0.13489999999999999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5.0000000000000001E-4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1.1000000000000001E-3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3.8E-3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6.4999999999999997E-3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1.0200000000000001E-2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1.29E-2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1.66E-2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1.9099999999999999E-2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2.0500000000000001E-2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2.23E-2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2.4500000000000001E-2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2.6800000000000001E-2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2.92E-2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3.15E-2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3.3700000000000001E-2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3.5200000000000002E-2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5.9999999999999995E-4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7.7000000000000002E-3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1.24E-2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1.52E-2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1.6299999999999999E-2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1.78E-2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1.6799999999999999E-2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1.5900000000000001E-2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1.43E-2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1.2699999999999999E-2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1.23E-2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1.18E-2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1.4200000000000001E-2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1.6199999999999999E-2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5.4999999999999997E-3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3.5000000000000001E-3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2.5000000000000001E-3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1.5E-3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5.9999999999999995E-4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1.2999999999999999E-3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2.3E-3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2.3E-3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4.0000000000000002E-4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2.0000000000000001E-4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56.074300000000001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37.813200000000002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64.621499999999997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68.475200000000001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74.485100000000003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77.829400000000007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72.715999999999994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117.6114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167.6036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202.4787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237.35380000000001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239.12979999999999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240.9059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254.12360000000001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267.34140000000002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280.18380000000002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293.02620000000002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5.2138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5.6516000000000002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5.8413000000000004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5.9984999999999999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6.0701000000000001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5.1178999999999997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7.1658999999999997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4.7965999999999998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3.7265000000000001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2.6269999999999998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1.5786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1.0301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0.49320000000000003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0.88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1.2555000000000001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0.94099999999999995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0.69040000000000001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3.8022999999999998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5.0404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5.3015999999999996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5.8638000000000003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6.1235999999999997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5.1390000000000002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7.2473999999999998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4.8654999999999999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3.3974000000000002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2.2801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1.2211000000000001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0.55330000000000001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-9.9299999999999999E-2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-0.15129999999999999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-0.2089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-0.3261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-0.37519999999999998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2.9999999999999997E-4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1.4E-3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5.7000000000000002E-3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8.0000000000000002E-3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1.06E-2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1.29E-2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1.6899999999999998E-2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1.95E-2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2.3099999999999999E-2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2.1000000000000001E-2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1.29E-2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4.5999999999999999E-3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2.3999999999999998E-3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1.8200000000000001E-2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1.7500000000000002E-2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1.7100000000000001E-2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2.1000000000000001E-2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2.7699999999999999E-2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3.7100000000000001E-2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4.9500000000000002E-2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6.2600000000000003E-2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7.3200000000000001E-2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8.1900000000000001E-2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9.06E-2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9.69E-2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0.1028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0.10390000000000001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0.1067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0.11070000000000001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0.1129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1.35E-2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1.4E-2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1.43E-2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1.61E-2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1.84E-2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2.2700000000000001E-2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0.03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3.7100000000000001E-2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4.58E-2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5.2299999999999999E-2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5.9299999999999999E-2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7.0400000000000004E-2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8.2500000000000004E-2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9.0399999999999994E-2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0.10979999999999999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0.1191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5.0000000000000001E-4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8.0000000000000004E-4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1.5E-3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2.5999999999999999E-3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3.3999999999999998E-3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4.4000000000000003E-3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6.0000000000000001E-3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8.3000000000000001E-3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1.03E-2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1.23E-2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1.44E-2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1.66E-2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1.9099999999999999E-2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2.1000000000000001E-2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2.3900000000000001E-2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2.7199999999999998E-2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3.0300000000000001E-2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2.9999999999999997E-4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1.5E-3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3.7000000000000002E-3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7.0000000000000001E-3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1.09E-2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1.4800000000000001E-2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1.9199999999999998E-2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2.3300000000000001E-2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2.8000000000000001E-2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5.0299999999999997E-2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6.5600000000000006E-2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7.3300000000000004E-2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7.6700000000000004E-2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7.6899999999999996E-2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7.5200000000000003E-2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7.3200000000000001E-2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7.0099999999999996E-2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2.3E-3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1.6000000000000001E-3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1.2999999999999999E-3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8.0000000000000004E-4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4.0000000000000002E-4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2.0000000000000001E-4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5.0000000000000001E-4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2.2000000000000001E-3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3.7000000000000002E-3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5.1999999999999998E-3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6.4999999999999997E-3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7.4000000000000003E-3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7.7999999999999996E-3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4.4000000000000003E-3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3.8E-3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2.8999999999999998E-3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1.6000000000000001E-3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1.9E-3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2.2000000000000001E-3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56.074300000000001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66.489400000000003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73.537400000000005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82.174300000000002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88.4392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92.795000000000002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104.0561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115.1815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190.7475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215.6173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240.48699999999999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263.26780000000002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286.04849999999999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290.21679999999998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294.38510000000002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304.76510000000002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315.14510000000001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5.3326000000000002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6.2308000000000003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8.2792999999999992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10.9361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14.7128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20.412700000000001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29.6374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29.9038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28.8566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26.636700000000001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23.3201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21.1523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18.820900000000002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16.3794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14.212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12.8269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11.2515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4.0496999999999996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5.9886999999999997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8.2260000000000009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11.3361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15.558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21.2164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30.423500000000001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30.500699999999998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29.296800000000001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26.851500000000001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23.3248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21.040400000000002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18.587599999999998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15.431100000000001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12.555999999999999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11.6341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10.520899999999999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0.433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4.3636999999999997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8.9509000000000007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12.3878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13.5145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13.8932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13.2906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12.8704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13.1699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12.1531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8.4153000000000002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7.0376000000000003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5.5869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4.5951000000000004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3.5565000000000002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1.17E-2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1.5800000000000002E-2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1.7600000000000001E-2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2.1999999999999999E-2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2.81E-2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4.3499999999999997E-2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5.96E-2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7.4899999999999994E-2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8.9399999999999993E-2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0.1023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0.114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0.1191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0.124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0.12429999999999999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0.1241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0.12690000000000001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0.12820000000000001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9.7999999999999997E-3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1.2500000000000001E-2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1.21E-2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1.3599999999999999E-2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1.49E-2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2.64E-2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3.7100000000000001E-2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4.4699999999999997E-2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5.7500000000000002E-2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6.7500000000000004E-2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7.8100000000000003E-2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8.8800000000000004E-2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9.9900000000000003E-2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0.1069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0.11360000000000001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0.12230000000000001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0.1308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4.0000000000000002E-4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8.0000000000000004E-4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2.5999999999999999E-3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4.3E-3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6.7999999999999996E-3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9.4999999999999998E-3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1.1900000000000001E-2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1.4200000000000001E-2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1.66E-2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1.9400000000000001E-2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2.1700000000000001E-2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2.4199999999999999E-2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2.6499999999999999E-2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2.8799999999999999E-2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3.1899999999999998E-2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3.4700000000000002E-2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2.0000000000000001E-4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1.4E-3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9.7999999999999997E-3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1.7100000000000001E-2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2.1600000000000001E-2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2.69E-2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3.6600000000000001E-2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3.9E-2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4.1099999999999998E-2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4.6399999999999997E-2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5.1299999999999998E-2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5.5599999999999997E-2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5.8299999999999998E-2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5.5800000000000002E-2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5.2900000000000003E-2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1.5E-3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8.9999999999999998E-4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5.0000000000000001E-4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2.9999999999999997E-4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2.9999999999999997E-4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5.0000000000000001E-4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5.0000000000000001E-4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4.0000000000000002E-4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2.9999999999999997E-4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56.074300000000001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52.476599999999998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71.61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76.472700000000003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81.493700000000004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66.628600000000006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103.9486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110.6159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160.82749999999999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184.2037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207.58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216.04769999999999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224.5155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213.85149999999999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203.1876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223.6327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244.0779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5.1786000000000003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6.3760000000000003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7.7450999999999999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8.3782999999999994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8.4124999999999996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5.7637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5.7354000000000003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4.1051000000000002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2.5686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1.4424999999999999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0.14019999999999999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-0.185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-0.57940000000000003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-8.3500000000000005E-2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0.53790000000000004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0.32429999999999998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0.18279999999999999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3.8833000000000002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5.9814999999999996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7.4283999999999999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8.5114000000000001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8.8681999999999999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6.2470999999999997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6.3273999999999999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4.5045000000000002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2.5712000000000002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1.4436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0.14219999999999999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-0.35320000000000001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-0.92030000000000001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-0.93279999999999996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-0.82220000000000004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-0.80630000000000002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-0.72240000000000004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0.1588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1.0395000000000001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2.7839999999999998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5.9071999999999996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9.1821999999999999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10.020200000000001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8.0695999999999994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6.5468999999999999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4.9169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3.4358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1.9665999999999999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1.3117000000000001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0.62139999999999995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0.40389999999999998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0.17280000000000001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1.52E-2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1.6400000000000001E-2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1.6199999999999999E-2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2.1000000000000001E-2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2.7699999999999999E-2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3.8100000000000002E-2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5.0700000000000002E-2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6.5500000000000003E-2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7.7899999999999997E-2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9.0700000000000003E-2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0.1042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0.10970000000000001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0.1143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0.11600000000000001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0.1172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0.1212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0.1236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1.1900000000000001E-2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1.3299999999999999E-2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1.2800000000000001E-2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1.49E-2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1.77E-2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2.2499999999999999E-2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2.8799999999999999E-2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3.6900000000000002E-2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4.9000000000000002E-2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5.9499999999999997E-2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7.1099999999999997E-2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8.1600000000000006E-2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9.2499999999999999E-2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0.1013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0.1106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0.12039999999999999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0.12989999999999999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5.0000000000000001E-4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6.9999999999999999E-4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2.3999999999999998E-3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3.3E-3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4.7999999999999996E-3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7.0000000000000001E-3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9.5999999999999992E-3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1.18E-2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1.44E-2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1.7299999999999999E-2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1.9800000000000002E-2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2.2499999999999999E-2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2.5000000000000001E-2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2.75E-2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3.1099999999999999E-2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3.4599999999999999E-2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2.9999999999999997E-4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1.4E-3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4.1999999999999997E-3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8.6999999999999994E-3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1.3100000000000001E-2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1.9599999999999999E-2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2.7199999999999998E-2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4.36E-2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4.8300000000000003E-2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4.7699999999999999E-2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5.0799999999999998E-2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4.8500000000000001E-2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4.7199999999999999E-2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4.4499999999999998E-2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4.0399999999999998E-2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3.5700000000000003E-2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1.8E-3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6.9999999999999999E-4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4.0000000000000002E-4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2.9999999999999997E-4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4.0000000000000002E-4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6.9999999999999999E-4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1.6000000000000001E-3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2.0999999999999999E-3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1.6999999999999999E-3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5.0000000000000001E-4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4.0000000000000002E-4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4.0000000000000002E-4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4.0000000000000002E-4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4.0000000000000002E-4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2.9999999999999997E-4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2.0000000000000001E-4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1E-4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56.074300000000001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60.649000000000001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73.878900000000002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80.255499999999998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86.509799999999998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85.959199999999996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100.4468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113.90260000000001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180.64189999999999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214.4641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248.28620000000001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276.21679999999998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304.1474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320.47590000000002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336.80439999999999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374.48270000000002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412.16090000000003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5.2207999999999997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6.1036000000000001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7.5362999999999998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9.9734999999999996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12.1983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14.805300000000001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19.590299999999999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16.171099999999999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12.6309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10.266400000000001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7.4730999999999996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5.4748999999999999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3.512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4.0727000000000002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4.6768999999999998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3.6520999999999999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2.6089000000000002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3.9289000000000001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5.6923000000000004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7.2557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10.098000000000001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12.770099999999999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15.4345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20.279199999999999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16.720800000000001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12.8552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10.3514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7.4184000000000001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5.1797000000000004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2.968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2.7223000000000002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2.5211000000000001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2.0562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1.5708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1.9900000000000001E-2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1.77E-2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1.77E-2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2.2800000000000001E-2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3.0300000000000001E-2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3.95E-2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4.99E-2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5.8500000000000003E-2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6.6799999999999998E-2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7.3400000000000007E-2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8.0399999999999999E-2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8.6099999999999996E-2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9.1600000000000001E-2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9.7199999999999995E-2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0.1026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0.1067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0.10929999999999999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1.46E-2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1.47E-2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1.5299999999999999E-2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1.78E-2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2.07E-2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2.5000000000000001E-2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3.1099999999999999E-2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3.56E-2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4.3999999999999997E-2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4.9500000000000002E-2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5.5899999999999998E-2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6.4899999999999999E-2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7.46E-2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8.4599999999999995E-2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9.5100000000000004E-2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0.1038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0.11210000000000001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5.0000000000000001E-4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8.9999999999999998E-4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1.6000000000000001E-3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2.7000000000000001E-3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3.7000000000000002E-3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4.7000000000000002E-3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6.1000000000000004E-3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7.7999999999999996E-3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9.2999999999999992E-3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1.09E-2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1.2699999999999999E-2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1.49E-2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1.7399999999999999E-2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1.9900000000000001E-2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2.2700000000000001E-2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2.58E-2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2.86E-2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2.9999999999999997E-4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1.4E-3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3.5000000000000001E-3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6.4000000000000003E-3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9.7999999999999997E-3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1.32E-2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1.6500000000000001E-2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1.7899999999999999E-2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1.89E-2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1.9699999999999999E-2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2.0299999999999999E-2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2.3800000000000002E-2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2.75E-2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3.6900000000000002E-2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4.6300000000000001E-2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6.5500000000000003E-2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8.3000000000000004E-2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3.2000000000000002E-3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2.3E-3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1.5E-3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8.0000000000000004E-4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5.9999999999999995E-4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2.9999999999999997E-4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2.0000000000000001E-4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2.9999999999999997E-4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5.0000000000000001E-4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6.9999999999999999E-4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1.5E-3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3.0000000000000001E-3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5.5999999999999999E-3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8.8000000000000005E-3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1.2500000000000001E-2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1.6500000000000001E-2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1.9599999999999999E-2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2.1999999999999999E-2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2.2200000000000001E-2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2.1899999999999999E-2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1.9800000000000002E-2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1.67E-2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1.5100000000000001E-2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1.2800000000000001E-2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1.21E-2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1.0999999999999999E-2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56.074300000000001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66.884100000000004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75.320400000000006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85.147800000000004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95.216099999999997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99.302999999999997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106.97150000000001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112.62179999999999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179.47210000000001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192.53360000000001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205.5951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217.46449999999999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229.3338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245.40020000000001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261.46660000000003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289.1574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316.84820000000002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5.3169000000000004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6.0118999999999998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7.8701999999999996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10.5724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14.8131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22.404499999999999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37.821199999999997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44.547199999999997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54.182200000000002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58.083799999999997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61.767099999999999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63.701999999999998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65.685299999999998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64.157399999999996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62.298200000000001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54.514699999999998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46.780900000000003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4.0486000000000004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5.7055999999999996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7.7789000000000001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11.059799999999999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15.8653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23.5349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39.046500000000002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45.590699999999998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55.0578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58.903300000000002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62.533000000000001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64.406700000000001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66.328699999999998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64.065899999999999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61.4754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54.155700000000003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46.887900000000002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1.8E-3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0.38290000000000002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2.1551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3.9948000000000001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3.8757000000000001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3.9655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4.4454000000000002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5.0134999999999996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5.0621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5.1223999999999998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4.3262999999999998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3.4796999999999998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2.7479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1.8998999999999999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1.1599999999999999E-2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1.5900000000000001E-2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1.7000000000000001E-2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2.52E-2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3.9800000000000002E-2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5.7500000000000002E-2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7.5399999999999995E-2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9.2100000000000001E-2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0.107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0.1212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0.12330000000000001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0.12520000000000001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0.12470000000000001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0.124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0.1258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0.12570000000000001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9.7999999999999997E-3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1.0699999999999999E-2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1.26E-2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1.24E-2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1.4E-2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2.0799999999999999E-2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3.5499999999999997E-2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4.4999999999999998E-2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5.9299999999999999E-2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7.0599999999999996E-2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8.2500000000000004E-2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9.11E-2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9.98E-2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0.1075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0.1153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0.1225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0.1293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4.0000000000000002E-4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5.9999999999999995E-4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1.2999999999999999E-3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1.9E-3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3.3E-3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6.1000000000000004E-3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8.8000000000000005E-3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1.15E-2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1.3899999999999999E-2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1.66E-2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1.9599999999999999E-2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2.1600000000000001E-2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2.3800000000000002E-2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2.5700000000000001E-2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2.7799999999999998E-2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3.0800000000000001E-2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3.3399999999999999E-2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2.0000000000000001E-4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1.2999999999999999E-3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3.5000000000000001E-3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6.3E-3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1.2200000000000001E-2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1.9E-2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2.7799999999999998E-2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4.0500000000000001E-2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4.1200000000000001E-2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0.04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4.3999999999999997E-2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4.8099999999999997E-2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5.0599999999999999E-2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5.33E-2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5.1799999999999999E-2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0.05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1.5E-3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8.9999999999999998E-4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6.9999999999999999E-4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4.0000000000000002E-4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5.0000000000000001E-4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2.9999999999999997E-4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5.0000000000000001E-4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8.9999999999999998E-4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1.2999999999999999E-3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2.2000000000000001E-3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1.6999999999999999E-3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8.0000000000000004E-4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56.074300000000001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66.884100000000004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75.320400000000006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63.392200000000003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84.911699999999996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96.662400000000005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91.210599999999999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141.785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197.59800000000001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251.3169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305.03590000000003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368.2706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431.50540000000001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440.16879999999998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448.8322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468.8254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488.81869999999998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5.2584999999999997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6.3273999999999999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9.0860000000000003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11.3764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12.289199999999999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11.4117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8.9859000000000009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4.8567999999999998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0.62460000000000004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-2.1776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-5.3788999999999998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-5.9223999999999997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-6.5335000000000001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-4.8648999999999996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-3.1638999999999999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-2.5133999999999999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-1.7605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3.9563999999999999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5.8813000000000004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8.7372999999999994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11.5579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12.980700000000001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12.166600000000001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9.8596000000000004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5.6021999999999998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1.1240000000000001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-1.8010999999999999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-5.1249000000000002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-5.8524000000000003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-6.6501000000000001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-5.7564000000000002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-4.8304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-3.6594000000000002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-2.3889999999999998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2.5999999999999999E-3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2.8299999999999999E-2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0.1086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0.32040000000000002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2.5811999999999999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3.1558999999999999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2.6246999999999998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2.1518000000000002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1.9902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1.8247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1.4410000000000001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1.0206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0.66549999999999998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0.27879999999999999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1.38E-2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1.4500000000000001E-2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1.5900000000000001E-2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2.0899999999999998E-2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2.6700000000000002E-2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4.1000000000000002E-2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5.4399999999999997E-2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6.6799999999999998E-2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8.0500000000000002E-2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9.3399999999999997E-2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0.10680000000000001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0.112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0.1166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0.1163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0.1154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0.1197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0.1217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1.1299999999999999E-2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1.24E-2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1.3100000000000001E-2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1.54E-2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1.5699999999999999E-2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2.2700000000000001E-2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3.2300000000000002E-2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3.8699999999999998E-2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5.0299999999999997E-2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6.0999999999999999E-2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7.2700000000000001E-2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8.2900000000000001E-2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9.35E-2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0.10050000000000001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0.1077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0.1177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0.1273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4.0000000000000002E-4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6.9999999999999999E-4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1.2999999999999999E-3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2.3999999999999998E-3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3.5999999999999999E-3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5.7000000000000002E-3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8.2000000000000007E-3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1.0200000000000001E-2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1.26E-2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1.49E-2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1.7399999999999999E-2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1.9599999999999999E-2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2.1999999999999999E-2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2.4E-2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2.6100000000000002E-2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2.9600000000000001E-2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3.2800000000000003E-2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2.0000000000000001E-4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1.2999999999999999E-3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3.5000000000000001E-3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6.6E-3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1.1299999999999999E-2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1.6799999999999999E-2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2.52E-2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3.1800000000000002E-2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4.36E-2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4.3900000000000002E-2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4.1000000000000002E-2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4.3499999999999997E-2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4.4600000000000001E-2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4.6600000000000003E-2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4.7E-2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4.6899999999999997E-2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4.6699999999999998E-2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1.8E-3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1.2999999999999999E-3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1.1000000000000001E-3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8.0000000000000004E-4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5.9999999999999995E-4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2.0000000000000001E-4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4.0000000000000002E-4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6.9999999999999999E-4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1.2999999999999999E-3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2.5000000000000001E-3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4.7000000000000002E-3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6.1999999999999998E-3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4.1000000000000003E-3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5.0000000000000001E-4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5.0000000000000001E-4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5.0000000000000001E-4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4.0000000000000002E-4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4.0000000000000002E-4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2.9999999999999997E-4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56.074300000000001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66.884100000000004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75.320400000000006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68.308999999999997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88.016000000000005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94.2393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107.8642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125.0938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195.44040000000001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243.73310000000001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292.0258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312.41500000000002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332.80410000000001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331.2672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329.7303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341.49430000000001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353.25819999999999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5.2602000000000002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6.1235999999999997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8.3556000000000008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11.627700000000001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13.862299999999999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18.017199999999999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23.903600000000001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19.0763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12.8108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10.380599999999999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7.7962999999999996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6.9824999999999999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6.1811999999999996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5.8884999999999996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5.6382000000000003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5.3231999999999999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5.0410000000000004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3.9575999999999998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5.7817999999999996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8.2178000000000004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12.017899999999999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14.705399999999999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18.816199999999998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24.704000000000001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19.7927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13.4018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10.708500000000001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7.8639999999999999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7.0627000000000004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6.2782999999999998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5.2371999999999996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4.2426000000000004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4.3635000000000002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4.5128000000000004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0.1411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0.75880000000000003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1.7644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2.8081999999999998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3.8772000000000002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4.7088000000000001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5.9386999999999999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6.3654000000000002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6.8373999999999997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7.1012000000000004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7.3345000000000002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7.2131999999999996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7.0824999999999996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6.5712000000000002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6.0461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1.46E-2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1.9800000000000002E-2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3.1300000000000001E-2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4.2900000000000001E-2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5.1299999999999998E-2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5.9200000000000003E-2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6.5199999999999994E-2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6.9500000000000006E-2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7.1099999999999997E-2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7.2800000000000004E-2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7.4099999999999999E-2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7.4300000000000005E-2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7.3800000000000004E-2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7.3499999999999996E-2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7.1999999999999995E-2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8.8999999999999999E-3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1.4E-2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1.52E-2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1.7999999999999999E-2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2.1000000000000001E-2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3.4000000000000002E-2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5.0099999999999999E-2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5.79E-2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7.1499999999999994E-2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7.8399999999999997E-2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8.5699999999999998E-2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9.69E-2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0.10829999999999999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0.1176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0.12659999999999999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0.1326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0.1376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5.0000000000000001E-4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1.1000000000000001E-3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1.9E-3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3.5999999999999999E-3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6.1999999999999998E-3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1.03E-2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1.2999999999999999E-2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1.72E-2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2.1499999999999998E-2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2.3300000000000001E-2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2.5600000000000001E-2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2.7900000000000001E-2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0.03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3.2199999999999999E-2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3.44E-2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3.5999999999999997E-2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5.9999999999999995E-4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2.8E-3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5.0000000000000001E-3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7.4999999999999997E-3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1.0800000000000001E-2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1.2800000000000001E-2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1.5699999999999999E-2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1.6400000000000001E-2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1.7500000000000002E-2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1.66E-2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1.5699999999999999E-2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1.44E-2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1.2999999999999999E-2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1.34E-2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1.38E-2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1.5599999999999999E-2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1.6899999999999998E-2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3.5000000000000001E-3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1.2999999999999999E-3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1.2999999999999999E-3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2.2000000000000001E-3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2.2000000000000001E-3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8.9999999999999998E-4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4.0000000000000002E-4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56.074300000000001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39.263199999999998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63.306199999999997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67.586399999999998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73.757099999999994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82.042599999999993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68.523399999999995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117.85469999999999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173.1233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205.43119999999999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237.739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240.6063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243.4736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253.97730000000001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264.48110000000003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291.053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317.62490000000003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5.2278000000000002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5.6779999999999999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5.8305999999999996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6.0791000000000004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6.3967000000000001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5.1651999999999996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7.0945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4.0671999999999997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2.8471000000000002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1.8125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0.82110000000000005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0.2898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-0.223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0.2802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0.77100000000000002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-7.3099999999999998E-2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-0.85389999999999999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3.8149000000000002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5.0824999999999996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5.2302999999999997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5.8611000000000004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6.3613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5.0648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7.0242000000000004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3.9373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2.4876999999999998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1.4519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0.46639999999999998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-0.16339999999999999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-0.77100000000000002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-0.72799999999999998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-0.69089999999999996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-1.3613999999999999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-1.9638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2.9999999999999997E-4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1.5E-3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5.3E-3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7.1000000000000004E-3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9.1000000000000004E-3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1.4800000000000001E-2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1.77E-2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2.3199999999999998E-2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1.89E-2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1.14E-2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3.5000000000000001E-3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1.9E-3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1.83E-2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1.7500000000000002E-2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1.7000000000000001E-2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2.0899999999999998E-2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2.76E-2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3.6999999999999998E-2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4.9200000000000001E-2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6.2399999999999997E-2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7.3099999999999998E-2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8.1900000000000001E-2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9.1499999999999998E-2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9.8199999999999996E-2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0.10440000000000001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0.1057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0.1086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0.11269999999999999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0.1149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1.3599999999999999E-2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1.4E-2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1.4200000000000001E-2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1.6E-2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1.84E-2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2.2599999999999999E-2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2.98E-2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3.6900000000000002E-2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4.5600000000000002E-2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5.2200000000000003E-2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5.9900000000000002E-2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7.1400000000000005E-2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8.4000000000000005E-2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9.2200000000000004E-2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0.1021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0.12130000000000001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5.0000000000000001E-4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8.0000000000000004E-4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1.5E-3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2.5999999999999999E-3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3.3999999999999998E-3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4.4000000000000003E-3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6.0000000000000001E-3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8.3000000000000001E-3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1.04E-2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1.24E-2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1.46E-2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1.6899999999999998E-2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1.9400000000000001E-2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2.1399999999999999E-2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2.4400000000000002E-2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2.7799999999999998E-2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3.0800000000000001E-2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2.9999999999999997E-4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1.4E-3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3.7000000000000002E-3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6.7999999999999996E-3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1.0800000000000001E-2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1.49E-2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2.35E-2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2.86E-2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5.1799999999999999E-2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6.7699999999999996E-2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7.5200000000000003E-2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7.8299999999999995E-2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7.8700000000000006E-2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7.7499999999999999E-2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7.5600000000000001E-2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7.2499999999999995E-2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2.3E-3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1.6000000000000001E-3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1.2999999999999999E-3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8.0000000000000004E-4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4.0000000000000002E-4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2.0000000000000001E-4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5.0000000000000001E-4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2.0999999999999999E-3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3.7000000000000002E-3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5.1999999999999998E-3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6.6E-3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7.6E-3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8.0000000000000002E-3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4.5999999999999999E-3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4.0000000000000001E-3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2.5000000000000001E-3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1.6999999999999999E-3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2E-3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2.3999999999999998E-3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2.3999999999999998E-3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2.3E-3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56.074300000000001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66.456999999999994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73.587800000000001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82.295199999999994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88.932000000000002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93.867999999999995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105.5309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117.26390000000001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191.72980000000001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217.93270000000001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244.13560000000001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268.44479999999999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292.75409999999999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293.14229999999998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293.53039999999999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305.46339999999998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317.39640000000003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5.3747999999999996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6.3476999999999997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8.375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11.008900000000001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14.791600000000001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20.488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29.6492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29.973400000000002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28.973700000000001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26.838000000000001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23.745000000000001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21.6557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19.380400000000002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17.0151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14.957000000000001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13.5318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11.8926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4.0938999999999997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6.0305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8.2682000000000002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11.3865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15.6312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21.2912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30.4377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30.573399999999999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29.4161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27.051300000000001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23.7376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21.523399999999999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19.119199999999999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16.043099999999999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13.2799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12.3096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11.126200000000001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0.46650000000000003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4.5663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9.1341999999999999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12.555199999999999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14.098100000000001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14.1111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13.234299999999999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11.928800000000001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11.2357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10.4186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8.1491000000000007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6.8042999999999996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5.3604000000000003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4.4377000000000004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3.4527999999999999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1.15E-2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1.52E-2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1.6899999999999998E-2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2.1399999999999999E-2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3.0200000000000001E-2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4.9799999999999997E-2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6.7699999999999996E-2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8.5000000000000006E-2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9.9099999999999994E-2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0.1128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0.12570000000000001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0.12970000000000001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0.13320000000000001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0.13170000000000001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0.1295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0.1295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0.12859999999999999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9.4999999999999998E-3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1.1900000000000001E-2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1.14E-2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1.2999999999999999E-2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1.6E-2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2.98E-2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4.2000000000000003E-2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4.9099999999999998E-2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6.0400000000000002E-2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7.1400000000000005E-2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8.2799999999999999E-2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9.2999999999999999E-2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0.10340000000000001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0.1087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0.11360000000000001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0.11990000000000001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4.0000000000000002E-4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8.0000000000000004E-4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2.5999999999999999E-3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4.7000000000000002E-3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7.9000000000000008E-3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1.38E-2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1.6199999999999999E-2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1.9E-2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2.1899999999999999E-2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2.4E-2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2.63E-2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2.8299999999999999E-2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3.0200000000000001E-2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3.27E-2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3.5000000000000003E-2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2.0000000000000001E-4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1.5E-3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5.4999999999999997E-3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1.83E-2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2.41E-2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3.0200000000000001E-2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3.5400000000000001E-2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4.3099999999999999E-2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4.48E-2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4.5999999999999999E-2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5.11E-2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5.5899999999999998E-2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5.9400000000000001E-2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6.1699999999999998E-2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6.0100000000000001E-2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5.8099999999999999E-2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1.5E-3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1.1000000000000001E-3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6.9999999999999999E-4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4.0000000000000002E-4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2.9999999999999997E-4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2.9999999999999997E-4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5.9999999999999995E-4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6.9999999999999999E-4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4.0000000000000002E-4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56.074300000000001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51.480400000000003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71.456400000000002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75.796999999999997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82.054299999999998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67.243399999999994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106.5364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112.666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160.77199999999999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185.2225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209.6729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216.0256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222.3783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215.2764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208.17449999999999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223.83690000000001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239.4992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5.3259999999999996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6.6736000000000004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7.9633000000000003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8.5002999999999993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8.0855999999999995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4.7885999999999997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4.2206999999999999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2.3462999999999998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1.379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0.31319999999999998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-0.8821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-0.6966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-0.51349999999999996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0.35410000000000003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1.3567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1.0617000000000001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0.88190000000000002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4.01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6.2431000000000001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7.6032999999999999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8.6074999999999999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8.516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5.2512999999999996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4.8033999999999999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2.7410999999999999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1.3304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0.25019999999999998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-0.95660000000000001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-0.95499999999999996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-0.95679999999999998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-0.59830000000000005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-0.105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-0.15590000000000001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-9.1800000000000007E-2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1.23E-2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0.19409999999999999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1.4206000000000001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4.2229999999999999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7.92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1.44E-2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1.5599999999999999E-2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1.5699999999999999E-2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2.7199999999999998E-2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3.78E-2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5.0599999999999999E-2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1.15E-2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1.2800000000000001E-2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1.2699999999999999E-2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1.3899999999999999E-2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1.7399999999999999E-2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2.1999999999999999E-2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2.8500000000000001E-2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4.0000000000000002E-4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6.9999999999999999E-4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2.3E-3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3.3E-3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4.7000000000000002E-3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7.1000000000000004E-3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2.9999999999999997E-4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1.4E-3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4.1000000000000003E-3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8.2000000000000007E-3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1.38E-2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2.0400000000000001E-2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2.87E-2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1.8E-3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1.1000000000000001E-3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6.9999999999999999E-4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4.0000000000000002E-4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2.9999999999999997E-4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4.0000000000000002E-4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5.9999999999999995E-4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8.9999999999999998E-4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1.5E-3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1.6999999999999999E-3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5.0000000000000001E-4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56.074300000000001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62.581600000000002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74.3279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82.825199999999995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84.414199999999994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86.623000000000005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99.987899999999996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5.2187000000000001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6.0673000000000004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7.7332000000000001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10.2052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12.9323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15.386900000000001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19.218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3.9224999999999999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5.7369000000000003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7.4983000000000004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10.343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13.509499999999999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16.003900000000002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19.9085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1.8800000000000001E-2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1.6899999999999998E-2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1.7000000000000001E-2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2.1499999999999998E-2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2.8799999999999999E-2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3.7999999999999999E-2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4.8300000000000003E-2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1.4500000000000001E-2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1.46E-2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1.52E-2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1.72E-2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2.4400000000000002E-2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3.0300000000000001E-2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5.9999999999999995E-4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8.9999999999999998E-4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1.6000000000000001E-3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2.5999999999999999E-3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3.5000000000000001E-3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4.4999999999999997E-3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5.8999999999999999E-3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2.9999999999999997E-4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1.4E-3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3.5000000000000001E-3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6.3E-3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9.5999999999999992E-3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1.6400000000000001E-2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2.8999999999999998E-3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2.3E-3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1.5E-3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1.1000000000000001E-3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8.0000000000000004E-4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6.9999999999999999E-4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1.5E-3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3.0000000000000001E-3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5.4999999999999997E-3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1.24E-2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1.6299999999999999E-2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56.074300000000001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66.806200000000004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75.367199999999997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85.284700000000001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95.407700000000006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99.638800000000003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107.45480000000001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5.2976000000000001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5.9325999999999999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7.8491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10.4323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14.5197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22.111599999999999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37.384799999999998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4.0217999999999998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5.7085999999999997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7.8087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10.9528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15.5975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23.262699999999999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38.6282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1.6999999999999999E-3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0.3503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1.9910000000000001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3.5911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1.89E-2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1.6799999999999999E-2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1.6400000000000001E-2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1.7299999999999999E-2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2.5000000000000001E-2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3.8199999999999998E-2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5.5100000000000003E-2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1.46E-2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1.46E-2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1.5100000000000001E-2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1.26E-2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1.38E-2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3.4299999999999997E-2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8.0000000000000004E-4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1.5E-3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1.9E-3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3.2000000000000002E-3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5.7999999999999996E-3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8.3999999999999995E-3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2.9999999999999997E-4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1.4E-3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3.3999999999999998E-3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5.8999999999999999E-3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1.18E-2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1.8599999999999998E-2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2.5999999999999999E-3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2.2000000000000001E-3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2.9999999999999997E-4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4.0000000000000002E-4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2.9999999999999997E-4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5.9999999999999995E-4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1.1999999999999999E-3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2.5000000000000001E-3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1.1000000000000001E-3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1.4E-3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6.9999999999999999E-4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56.074300000000001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66.806200000000004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75.367199999999997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64.645899999999997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85.346699999999998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96.370800000000003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89.283500000000004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5.2502000000000004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5.9260999999999999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7.8449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9.6651000000000007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10.9977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10.7666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8.9923999999999999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3.9811000000000001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5.6166999999999998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7.6273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9.8829999999999991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11.650600000000001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11.538500000000001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9.8910999999999998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2.3999999999999998E-3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2.29E-2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9.0399999999999994E-2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0.2868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1.26E-2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1.38E-2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1.6400000000000001E-2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2.1600000000000001E-2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2.29E-2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3.6600000000000001E-2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5.0700000000000002E-2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1.06E-2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1.35E-2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1.5699999999999999E-2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1.4800000000000001E-2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2.0199999999999999E-2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3.1199999999999999E-2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4.0000000000000002E-4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6.9999999999999999E-4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1.2999999999999999E-3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2.3E-3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2.8999999999999998E-3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4.8999999999999998E-3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7.6E-3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2.0000000000000001E-4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1.2999999999999999E-3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3.3999999999999998E-3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6.4999999999999997E-3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1.0699999999999999E-2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1.67E-2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2.4899999999999999E-2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1.1999999999999999E-3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8.9999999999999998E-4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6.9999999999999999E-4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5.9999999999999995E-4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5.0000000000000001E-4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4.0000000000000002E-4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2.0000000000000001E-4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2.9999999999999997E-4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5.0000000000000001E-4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8.9999999999999998E-4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3.0000000000000001E-3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4.7000000000000002E-3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3.7000000000000002E-3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56.074300000000001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66.806200000000004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75.367199999999997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76.911900000000003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91.798599999999993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100.4537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110.92140000000001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5.1589999999999998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5.8304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8.0257000000000005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11.3338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13.3591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17.626200000000001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23.580200000000001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3.8580000000000001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5.5827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7.9599000000000002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11.7379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14.2393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18.415500000000002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24.401700000000002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0.1237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0.64229999999999998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1.8492999999999999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3.3016999999999999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4.6353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1.5800000000000002E-2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2.1299999999999999E-2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2.18E-2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2.9499999999999998E-2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3.8300000000000001E-2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5.2400000000000002E-2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6.1499999999999999E-2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8.9999999999999993E-3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1.3899999999999999E-2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1.5699999999999999E-2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2.01E-2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2.5899999999999999E-2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4.2099999999999999E-2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6.13E-2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5.0000000000000001E-4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1.1000000000000001E-3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2.0999999999999999E-3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4.1999999999999997E-3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7.6E-3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1.24E-2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1.52E-2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5.9999999999999995E-4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2.8999999999999998E-3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5.1999999999999998E-3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8.0000000000000002E-3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1.14E-2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1.38E-2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1.7100000000000001E-2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4.4000000000000003E-3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1.8E-3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8.9999999999999998E-4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1.6999999999999999E-3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2.5999999999999999E-3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2.8E-3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1.1999999999999999E-3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56.074300000000001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41.548699999999997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63.544600000000003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67.599800000000002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73.950199999999995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82.454599999999999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66.415899999999993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5.4142999999999999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5.9904999999999999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6.1891999999999996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6.6063000000000001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6.649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5.1547000000000001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6.6928999999999998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3.9258999999999999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5.2877999999999998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5.4389000000000003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6.2234999999999996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6.4459999999999997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4.8944999999999999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6.4728000000000003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2.9999999999999997E-4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1.6000000000000001E-3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4.7000000000000002E-3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6.3E-3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1.84E-2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1.7500000000000002E-2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1.7000000000000001E-2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2.0899999999999998E-2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2.76E-2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3.6900000000000002E-2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4.9200000000000001E-2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1.3599999999999999E-2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1.4E-2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1.4200000000000001E-2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1.6E-2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1.84E-2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2.2599999999999999E-2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2.98E-2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5.0000000000000001E-4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8.0000000000000004E-4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1.5E-3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2.5000000000000001E-3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3.3999999999999998E-3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4.4000000000000003E-3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6.0000000000000001E-3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2.9999999999999997E-4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1.4E-3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3.5999999999999999E-3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6.7999999999999996E-3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1.0800000000000001E-2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1.49E-2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1.9599999999999999E-2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2.3E-3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1.6000000000000001E-3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1.2999999999999999E-3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8.0000000000000004E-4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4.0000000000000002E-4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5.0000000000000001E-4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2.0999999999999999E-3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3.7000000000000002E-3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5.3E-3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6.7000000000000002E-3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7.7000000000000002E-3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56.074300000000001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66.464399999999998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73.6541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82.4268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89.165599999999998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94.302000000000007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106.1185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5.3887999999999998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6.3193000000000001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8.3569999999999993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10.998100000000001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14.772399999999999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20.495999999999999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29.558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4.1086999999999998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6.0430999999999999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8.2608999999999995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11.3765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15.607900000000001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21.2912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30.3306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0.4582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4.5811999999999999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9.2113999999999994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12.5099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14.2013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1.15E-2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1.52E-2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1.67E-2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2.1399999999999999E-2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3.0499999999999999E-2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5.0700000000000002E-2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6.8699999999999997E-2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9.4999999999999998E-3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1.1900000000000001E-2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1.1299999999999999E-2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1.29E-2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1.6199999999999999E-2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3.04E-2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4.2700000000000002E-2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4.0000000000000002E-4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8.0000000000000004E-4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2.5999999999999999E-3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4.7000000000000002E-3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8.0000000000000002E-3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1.1299999999999999E-2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2.0000000000000001E-4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1.5E-3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5.4000000000000003E-3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1.8599999999999998E-2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2.46E-2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3.0599999999999999E-2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1.5E-3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1.1000000000000001E-3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6.9999999999999999E-4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4.0000000000000002E-4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2.9999999999999997E-4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2.9999999999999997E-4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5.9999999999999995E-4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6.9999999999999999E-4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4.0000000000000002E-4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56.074300000000001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53.4358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72.004999999999995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75.687899999999999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82.591700000000003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68.068100000000001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107.6135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5.3259999999999996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6.7351000000000001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8.0251999999999999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8.5827000000000009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8.0025999999999993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4.4306000000000001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3.6435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4.0103999999999997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6.2576999999999998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7.6403999999999996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8.6648999999999994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8.4344999999999999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4.915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4.2478999999999996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2025-09-25T09:50:05Z</dcterms:modified>
</cp:coreProperties>
</file>