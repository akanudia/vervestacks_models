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ppXLS\"/>
    </mc:Choice>
  </mc:AlternateContent>
  <xr:revisionPtr revIDLastSave="0" documentId="8_{0B3AF9CE-520C-45A7-A95F-513D8AF6D86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<sst xmlns="http://schemas.openxmlformats.org/spreadsheetml/2006/main" count="58717" uniqueCount="92">
  <si>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</si>
  <si>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</si>
  <si>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</si>
  <si>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</si>
  <si>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</si>
  <si>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</si>
  <si>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</si>
  <si>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</si>
  <si>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</si>
  <si>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</si>
  <si>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</si>
  <si>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</si>
  <si>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</si>
  <si>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</si>
  <si>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</si>
  <si>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</si>
  <si>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</si>
  <si>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</si>
  <si>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</si>
  <si>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</si>
  <si>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</si>
  <si>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</si>
  <si>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</si>
  <si>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</si>
  <si>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</si>
  <si>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</si>
  <si>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</si>
  <si>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</si>
  <si>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</si>
  <si>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</si>
  <si>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</si>
  <si>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</si>
  <si>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</si>
  <si>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</si>
  <si>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</si>
  <si>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</si>
  <si>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</si>
  <si>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</si>
  <si>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</si>
  <si>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</si>
  <si>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</si>
  <si>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</si>
  <si>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</si>
  <si>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</si>
  <si>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</si>
  <si>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</si>
  <si>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</si>
  <si>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</si>
  <si>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</si>
  <si>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</si>
  <si>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</si>
  <si>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</si>
  <si>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</si>
  <si>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</si>
  <si>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</si>
  <si>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</si>
  <si>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</si>
  <si>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</si>
  <si>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</si>
  <si>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</si>
  <si>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</si>
  <si>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</si>
  <si>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</si>
  <si>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</si>
  <si>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</si>
  <si>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</si>
  <si>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</si>
  <si>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</si>
  <si>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</si>
  <si>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</si>
  <si>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</si>
  <si>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</si>
  <si>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</si>
  <si>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</si>
  <si>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</si>
  <si>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</si>
  <si>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</si>
  <si>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</si>
  <si>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</si>
  <si>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</si>
  <si>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</si>
  <si>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</si>
  <si>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</si>
  <si>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</si>
  <si>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TJK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</si>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</sst>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27.479999999999997</c:v>
                </c:pt>
                <c:pt idx="1">
                  <c:v>26.203715529753261</c:v>
                </c:pt>
                <c:pt idx="2">
                  <c:v>27.280580551523947</c:v>
                </c:pt>
                <c:pt idx="3">
                  <c:v>33.741770682148037</c:v>
                </c:pt>
                <c:pt idx="4">
                  <c:v>42.675761973875183</c:v>
                </c:pt>
                <c:pt idx="5">
                  <c:v>54.122438316400583</c:v>
                </c:pt>
                <c:pt idx="6">
                  <c:v>68.36098693759071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2.21</c:v>
                </c:pt>
                <c:pt idx="1">
                  <c:v>1.8616256157635467</c:v>
                </c:pt>
                <c:pt idx="2">
                  <c:v>1.9363479623824453</c:v>
                </c:pt>
                <c:pt idx="3">
                  <c:v>2.0199776085982979</c:v>
                </c:pt>
                <c:pt idx="4">
                  <c:v>2.1649686520376177</c:v>
                </c:pt>
                <c:pt idx="5">
                  <c:v>2.4143730407523512</c:v>
                </c:pt>
                <c:pt idx="6">
                  <c:v>3.8296439767129415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27.48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27.479999999999997</v>
      </c>
      <c r="S12" s="8">
        <f t="shared" ref="S12:X12" si="0">SUM(S17:S20)</f>
        <v>26.203715529753261</v>
      </c>
      <c r="T12" s="8">
        <f t="shared" si="0"/>
        <v>27.280580551523947</v>
      </c>
      <c r="U12" s="8">
        <f t="shared" si="0"/>
        <v>33.741770682148037</v>
      </c>
      <c r="V12" s="8">
        <f t="shared" si="0"/>
        <v>42.675761973875183</v>
      </c>
      <c r="W12" s="8">
        <f t="shared" si="0"/>
        <v>54.122438316400583</v>
      </c>
      <c r="X12" s="8">
        <f t="shared" si="0"/>
        <v>68.36098693759071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2.9999999999999997E-4</v>
      </c>
      <c r="H16" s="10">
        <f>SUMIFS(ngfs_median!$J$2:$J$17119,ngfs_median!$B$2:$B$17119,Veda!$C$5,ngfs_median!$H$2:$H$17119,Veda!$Q16,ngfs_median!$I$2:$I$17119,Veda!H$15)</f>
        <v>1.4E-3</v>
      </c>
      <c r="I16" s="10">
        <f>SUMIFS(ngfs_median!$J$2:$J$17119,ngfs_median!$B$2:$B$17119,Veda!$C$5,ngfs_median!$H$2:$H$17119,Veda!$Q16,ngfs_median!$I$2:$I$17119,Veda!I$15)</f>
        <v>3.5000000000000001E-3</v>
      </c>
      <c r="J16" s="10">
        <f>SUMIFS(ngfs_median!$J$2:$J$17119,ngfs_median!$B$2:$B$17119,Veda!$C$5,ngfs_median!$H$2:$H$17119,Veda!$Q16,ngfs_median!$I$2:$I$17119,Veda!J$15)</f>
        <v>6.3499999999999997E-3</v>
      </c>
      <c r="K16" s="10">
        <f>SUMIFS(ngfs_median!$J$2:$J$17119,ngfs_median!$B$2:$B$17119,Veda!$C$5,ngfs_median!$H$2:$H$17119,Veda!$Q16,ngfs_median!$I$2:$I$17119,Veda!K$15)</f>
        <v>9.7000000000000003E-3</v>
      </c>
      <c r="L16" s="10">
        <f>SUMIFS(ngfs_median!$J$2:$J$17119,ngfs_median!$B$2:$B$17119,Veda!$C$5,ngfs_median!$H$2:$H$17119,Veda!$Q16,ngfs_median!$I$2:$I$17119,Veda!L$15)</f>
        <v>1.3100000000000001E-2</v>
      </c>
      <c r="M16" s="10">
        <f>SUMIFS(ngfs_median!$J$2:$J$17119,ngfs_median!$B$2:$B$17119,Veda!$C$5,ngfs_median!$H$2:$H$17119,Veda!$Q16,ngfs_median!$I$2:$I$17119,Veda!M$15)</f>
        <v>1.635E-2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0.58333333333333337</v>
      </c>
      <c r="U16" s="6">
        <f t="shared" si="2"/>
        <v>1.3749999999999998</v>
      </c>
      <c r="V16" s="6">
        <f t="shared" si="2"/>
        <v>2.3055555555555554</v>
      </c>
      <c r="W16" s="6">
        <f t="shared" si="2"/>
        <v>3.25</v>
      </c>
      <c r="X16" s="6">
        <f t="shared" si="2"/>
        <v>4.1527777777777777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5.4999999999999992E-4</v>
      </c>
      <c r="H17" s="10">
        <f>SUMIFS(ngfs_median!$J$2:$J$17119,ngfs_median!$B$2:$B$17119,Veda!$C$5,ngfs_median!$H$2:$H$17119,Veda!$Q17,ngfs_median!$I$2:$I$17119,Veda!H$15)</f>
        <v>8.9999999999999998E-4</v>
      </c>
      <c r="I17" s="10">
        <f>SUMIFS(ngfs_median!$J$2:$J$17119,ngfs_median!$B$2:$B$17119,Veda!$C$5,ngfs_median!$H$2:$H$17119,Veda!$Q17,ngfs_median!$I$2:$I$17119,Veda!I$15)</f>
        <v>1.6000000000000001E-3</v>
      </c>
      <c r="J17" s="10">
        <f>SUMIFS(ngfs_median!$J$2:$J$17119,ngfs_median!$B$2:$B$17119,Veda!$C$5,ngfs_median!$H$2:$H$17119,Veda!$Q17,ngfs_median!$I$2:$I$17119,Veda!J$15)</f>
        <v>2.65E-3</v>
      </c>
      <c r="K17" s="10">
        <f>SUMIFS(ngfs_median!$J$2:$J$17119,ngfs_median!$B$2:$B$17119,Veda!$C$5,ngfs_median!$H$2:$H$17119,Veda!$Q17,ngfs_median!$I$2:$I$17119,Veda!K$15)</f>
        <v>3.5999999999999999E-3</v>
      </c>
      <c r="L17" s="10">
        <f>SUMIFS(ngfs_median!$J$2:$J$17119,ngfs_median!$B$2:$B$17119,Veda!$C$5,ngfs_median!$H$2:$H$17119,Veda!$Q17,ngfs_median!$I$2:$I$17119,Veda!L$15)</f>
        <v>4.5500000000000002E-3</v>
      </c>
      <c r="M17" s="10">
        <f>SUMIFS(ngfs_median!$J$2:$J$17119,ngfs_median!$B$2:$B$17119,Veda!$C$5,ngfs_median!$H$2:$H$17119,Veda!$Q17,ngfs_median!$I$2:$I$17119,Veda!M$15)</f>
        <v>6.0000000000000001E-3</v>
      </c>
      <c r="Q17" s="12" t="s">
        <v>10</v>
      </c>
      <c r="R17" s="6">
        <f>$Q$10*G17/SUM($G$17:$G$19)</f>
        <v>0.4387227866473149</v>
      </c>
      <c r="S17" s="6">
        <f>R17</f>
        <v>0.4387227866473149</v>
      </c>
      <c r="T17" s="6">
        <f t="shared" ref="T17:X17" si="3">S17</f>
        <v>0.4387227866473149</v>
      </c>
      <c r="U17" s="6">
        <f t="shared" si="3"/>
        <v>0.4387227866473149</v>
      </c>
      <c r="V17" s="6">
        <f t="shared" si="3"/>
        <v>0.4387227866473149</v>
      </c>
      <c r="W17" s="6">
        <f t="shared" si="3"/>
        <v>0.4387227866473149</v>
      </c>
      <c r="X17" s="6">
        <f t="shared" si="3"/>
        <v>0.4387227866473149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1.455E-2</v>
      </c>
      <c r="H18" s="10">
        <f>SUMIFS(ngfs_median!$J$2:$J$17119,ngfs_median!$B$2:$B$17119,Veda!$C$5,ngfs_median!$H$2:$H$17119,Veda!$Q18,ngfs_median!$I$2:$I$17119,Veda!H$15)</f>
        <v>1.465E-2</v>
      </c>
      <c r="I18" s="10">
        <f>SUMIFS(ngfs_median!$J$2:$J$17119,ngfs_median!$B$2:$B$17119,Veda!$C$5,ngfs_median!$H$2:$H$17119,Veda!$Q18,ngfs_median!$I$2:$I$17119,Veda!I$15)</f>
        <v>1.525E-2</v>
      </c>
      <c r="J18" s="10">
        <f>SUMIFS(ngfs_median!$J$2:$J$17119,ngfs_median!$B$2:$B$17119,Veda!$C$5,ngfs_median!$H$2:$H$17119,Veda!$Q18,ngfs_median!$I$2:$I$17119,Veda!J$15)</f>
        <v>1.7500000000000002E-2</v>
      </c>
      <c r="K18" s="10">
        <f>SUMIFS(ngfs_median!$J$2:$J$17119,ngfs_median!$B$2:$B$17119,Veda!$C$5,ngfs_median!$H$2:$H$17119,Veda!$Q18,ngfs_median!$I$2:$I$17119,Veda!K$15)</f>
        <v>2.035E-2</v>
      </c>
      <c r="L18" s="10">
        <f>SUMIFS(ngfs_median!$J$2:$J$17119,ngfs_median!$B$2:$B$17119,Veda!$C$5,ngfs_median!$H$2:$H$17119,Veda!$Q18,ngfs_median!$I$2:$I$17119,Veda!L$15)</f>
        <v>2.46E-2</v>
      </c>
      <c r="M18" s="10">
        <f>SUMIFS(ngfs_median!$J$2:$J$17119,ngfs_median!$B$2:$B$17119,Veda!$C$5,ngfs_median!$H$2:$H$17119,Veda!$Q18,ngfs_median!$I$2:$I$17119,Veda!M$15)</f>
        <v>3.065E-2</v>
      </c>
      <c r="Q18" s="12" t="s">
        <v>12</v>
      </c>
      <c r="R18" s="6">
        <f>$Q$10*G18/SUM($G$17:$G$19)</f>
        <v>11.60621190130624</v>
      </c>
      <c r="S18" s="6">
        <f t="shared" ref="S18:X19" si="4">R18*H18/G18</f>
        <v>11.685979680696661</v>
      </c>
      <c r="T18" s="6">
        <f t="shared" si="4"/>
        <v>12.164586357039187</v>
      </c>
      <c r="U18" s="6">
        <f t="shared" si="4"/>
        <v>13.959361393323659</v>
      </c>
      <c r="V18" s="6">
        <f t="shared" si="4"/>
        <v>16.232743105950654</v>
      </c>
      <c r="W18" s="6">
        <f t="shared" si="4"/>
        <v>19.622873730043544</v>
      </c>
      <c r="X18" s="6">
        <f t="shared" si="4"/>
        <v>24.448824383164009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1.9349999999999999E-2</v>
      </c>
      <c r="H19" s="10">
        <f>SUMIFS(ngfs_median!$J$2:$J$17119,ngfs_median!$B$2:$B$17119,Veda!$C$5,ngfs_median!$H$2:$H$17119,Veda!$Q19,ngfs_median!$I$2:$I$17119,Veda!H$15)</f>
        <v>1.7299999999999999E-2</v>
      </c>
      <c r="I19" s="10">
        <f>SUMIFS(ngfs_median!$J$2:$J$17119,ngfs_median!$B$2:$B$17119,Veda!$C$5,ngfs_median!$H$2:$H$17119,Veda!$Q19,ngfs_median!$I$2:$I$17119,Veda!I$15)</f>
        <v>1.7350000000000001E-2</v>
      </c>
      <c r="J19" s="10">
        <f>SUMIFS(ngfs_median!$J$2:$J$17119,ngfs_median!$B$2:$B$17119,Veda!$C$5,ngfs_median!$H$2:$H$17119,Veda!$Q19,ngfs_median!$I$2:$I$17119,Veda!J$15)</f>
        <v>2.215E-2</v>
      </c>
      <c r="K19" s="10">
        <f>SUMIFS(ngfs_median!$J$2:$J$17119,ngfs_median!$B$2:$B$17119,Veda!$C$5,ngfs_median!$H$2:$H$17119,Veda!$Q19,ngfs_median!$I$2:$I$17119,Veda!K$15)</f>
        <v>2.955E-2</v>
      </c>
      <c r="L19" s="10">
        <f>SUMIFS(ngfs_median!$J$2:$J$17119,ngfs_median!$B$2:$B$17119,Veda!$C$5,ngfs_median!$H$2:$H$17119,Veda!$Q19,ngfs_median!$I$2:$I$17119,Veda!L$15)</f>
        <v>3.8699999999999998E-2</v>
      </c>
      <c r="M19" s="10">
        <f>SUMIFS(ngfs_median!$J$2:$J$17119,ngfs_median!$B$2:$B$17119,Veda!$C$5,ngfs_median!$H$2:$H$17119,Veda!$Q19,ngfs_median!$I$2:$I$17119,Veda!M$15)</f>
        <v>4.9049999999999996E-2</v>
      </c>
      <c r="Q19" s="12" t="s">
        <v>13</v>
      </c>
      <c r="R19" s="6">
        <f>$Q$10*G19/SUM($G$17:$G$19)</f>
        <v>15.435065312046442</v>
      </c>
      <c r="S19" s="6">
        <f t="shared" si="4"/>
        <v>13.799825834542814</v>
      </c>
      <c r="T19" s="6">
        <f t="shared" si="4"/>
        <v>13.839709724238025</v>
      </c>
      <c r="U19" s="6">
        <f t="shared" si="4"/>
        <v>17.668563134978228</v>
      </c>
      <c r="V19" s="6">
        <f t="shared" si="4"/>
        <v>23.571378809869376</v>
      </c>
      <c r="W19" s="6">
        <f t="shared" si="4"/>
        <v>30.870130624092887</v>
      </c>
      <c r="X19" s="6">
        <f t="shared" si="4"/>
        <v>39.126095791001454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0.27918722786647321</v>
      </c>
      <c r="T20" s="6">
        <f t="shared" si="5"/>
        <v>0.83756168359941952</v>
      </c>
      <c r="U20" s="6">
        <f t="shared" si="5"/>
        <v>1.6751233671988388</v>
      </c>
      <c r="V20" s="6">
        <f t="shared" si="5"/>
        <v>2.4329172714078373</v>
      </c>
      <c r="W20" s="6">
        <f t="shared" si="5"/>
        <v>3.190711175616836</v>
      </c>
      <c r="X20" s="6">
        <f t="shared" si="5"/>
        <v>4.3473439767779389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2.21</v>
      </c>
      <c r="D22" s="12" t="s">
        <v>79</v>
      </c>
      <c r="G22" s="8">
        <f>G35/$G$35*$B22</f>
        <v>2.21</v>
      </c>
      <c r="H22" s="8">
        <f t="shared" ref="H22:M22" si="6">H35/$G$35*$B22</f>
        <v>1.8616256157635467</v>
      </c>
      <c r="I22" s="8">
        <f t="shared" si="6"/>
        <v>1.9363479623824453</v>
      </c>
      <c r="J22" s="8">
        <f t="shared" si="6"/>
        <v>2.0199776085982979</v>
      </c>
      <c r="K22" s="8">
        <f t="shared" si="6"/>
        <v>2.1649686520376177</v>
      </c>
      <c r="L22" s="8">
        <f t="shared" si="6"/>
        <v>2.4143730407523512</v>
      </c>
      <c r="M22" s="8">
        <f t="shared" si="6"/>
        <v>3.8296439767129415</v>
      </c>
      <c r="Q22" t="s">
        <v>64</v>
      </c>
      <c r="T22" s="8">
        <f>I35*1000</f>
        <v>391.3</v>
      </c>
      <c r="U22" s="8">
        <f>J35*1000</f>
        <v>408.19999999999993</v>
      </c>
      <c r="V22" s="8">
        <f>K35*1000</f>
        <v>437.5</v>
      </c>
      <c r="W22" s="8">
        <f>L35*1000</f>
        <v>487.9</v>
      </c>
      <c r="X22" s="8">
        <f>M35*1000</f>
        <v>773.9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0.8</v>
      </c>
      <c r="S26" s="3">
        <f>AVERAGEIFS(historical_data_long!$D$3:$D$9999,historical_data_long!$B$3:$B$9999,"&gt;2017",historical_data_long!$A$3:$A$9999,$O26)</f>
        <v>0.65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3.3</v>
      </c>
      <c r="S27" s="3">
        <f>AVERAGEIFS(historical_data_long!$D$3:$D$9999,historical_data_long!$B$3:$B$9999,"&gt;2017",historical_data_long!$A$3:$A$9999,$O27)</f>
        <v>3.0166666666666671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0.4466</v>
      </c>
      <c r="H35" s="11">
        <f>SUMIFS(ngfs_median!$J$2:$J$17119,ngfs_median!$B$2:$B$17119,Veda!$C$5,ngfs_median!$D$2:$D$17119,Veda!$D22,ngfs_median!$I$2:$I$17119,Veda!H$15)</f>
        <v>0.37619999999999998</v>
      </c>
      <c r="I35" s="11">
        <f>SUMIFS(ngfs_median!$J$2:$J$17119,ngfs_median!$B$2:$B$17119,Veda!$C$5,ngfs_median!$D$2:$D$17119,Veda!$D22,ngfs_median!$I$2:$I$17119,Veda!I$15)</f>
        <v>0.39130000000000004</v>
      </c>
      <c r="J35" s="11">
        <f>SUMIFS(ngfs_median!$J$2:$J$17119,ngfs_median!$B$2:$B$17119,Veda!$C$5,ngfs_median!$D$2:$D$17119,Veda!$D22,ngfs_median!$I$2:$I$17119,Veda!J$15)</f>
        <v>0.40819999999999995</v>
      </c>
      <c r="K35" s="11">
        <f>SUMIFS(ngfs_median!$J$2:$J$17119,ngfs_median!$B$2:$B$17119,Veda!$C$5,ngfs_median!$D$2:$D$17119,Veda!$D22,ngfs_median!$I$2:$I$17119,Veda!K$15)</f>
        <v>0.4375</v>
      </c>
      <c r="L35" s="11">
        <f>SUMIFS(ngfs_median!$J$2:$J$17119,ngfs_median!$B$2:$B$17119,Veda!$C$5,ngfs_median!$D$2:$D$17119,Veda!$D22,ngfs_median!$I$2:$I$17119,Veda!L$15)</f>
        <v>0.4879</v>
      </c>
      <c r="M35" s="11">
        <f>SUMIFS(ngfs_median!$J$2:$J$17119,ngfs_median!$B$2:$B$17119,Veda!$C$5,ngfs_median!$D$2:$D$17119,Veda!$D22,ngfs_median!$I$2:$I$17119,Veda!M$15)</f>
        <v>0.77389999999999992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0</v>
      </c>
    </row>
    <row r="4" spans="1:4" x14ac:dyDescent="0.45">
      <c r="A4" t="s">
        <v>36</v>
      </c>
      <c r="B4">
        <v>2000</v>
      </c>
      <c r="C4" t="s">
        <v>74</v>
      </c>
      <c r="D4">
        <v>0.22</v>
      </c>
    </row>
    <row r="5" spans="1:4" x14ac:dyDescent="0.45">
      <c r="A5" t="s">
        <v>56</v>
      </c>
      <c r="B5">
        <v>2000</v>
      </c>
      <c r="C5" t="s">
        <v>74</v>
      </c>
      <c r="D5">
        <v>14.02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</v>
      </c>
    </row>
    <row r="11" spans="1:4" x14ac:dyDescent="0.45">
      <c r="A11" t="s">
        <v>32</v>
      </c>
      <c r="B11">
        <v>2001</v>
      </c>
      <c r="C11" t="s">
        <v>74</v>
      </c>
      <c r="D11">
        <v>0</v>
      </c>
    </row>
    <row r="12" spans="1:4" x14ac:dyDescent="0.45">
      <c r="A12" t="s">
        <v>34</v>
      </c>
      <c r="B12">
        <v>2001</v>
      </c>
      <c r="C12" t="s">
        <v>74</v>
      </c>
      <c r="D12">
        <v>0</v>
      </c>
    </row>
    <row r="13" spans="1:4" x14ac:dyDescent="0.45">
      <c r="A13" t="s">
        <v>36</v>
      </c>
      <c r="B13">
        <v>2001</v>
      </c>
      <c r="C13" t="s">
        <v>74</v>
      </c>
      <c r="D13">
        <v>0.18</v>
      </c>
    </row>
    <row r="14" spans="1:4" x14ac:dyDescent="0.45">
      <c r="A14" t="s">
        <v>56</v>
      </c>
      <c r="B14">
        <v>2001</v>
      </c>
      <c r="C14" t="s">
        <v>74</v>
      </c>
      <c r="D14">
        <v>14.21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</v>
      </c>
    </row>
    <row r="20" spans="1:4" x14ac:dyDescent="0.45">
      <c r="A20" t="s">
        <v>32</v>
      </c>
      <c r="B20">
        <v>2002</v>
      </c>
      <c r="C20" t="s">
        <v>74</v>
      </c>
      <c r="D20">
        <v>0</v>
      </c>
    </row>
    <row r="21" spans="1:4" x14ac:dyDescent="0.45">
      <c r="A21" t="s">
        <v>34</v>
      </c>
      <c r="B21">
        <v>2002</v>
      </c>
      <c r="C21" t="s">
        <v>74</v>
      </c>
      <c r="D21">
        <v>0</v>
      </c>
    </row>
    <row r="22" spans="1:4" x14ac:dyDescent="0.45">
      <c r="A22" t="s">
        <v>36</v>
      </c>
      <c r="B22">
        <v>2002</v>
      </c>
      <c r="C22" t="s">
        <v>74</v>
      </c>
      <c r="D22">
        <v>0.14000000000000001</v>
      </c>
    </row>
    <row r="23" spans="1:4" x14ac:dyDescent="0.45">
      <c r="A23" t="s">
        <v>56</v>
      </c>
      <c r="B23">
        <v>2002</v>
      </c>
      <c r="C23" t="s">
        <v>74</v>
      </c>
      <c r="D23">
        <v>15.16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</v>
      </c>
    </row>
    <row r="29" spans="1:4" x14ac:dyDescent="0.45">
      <c r="A29" t="s">
        <v>32</v>
      </c>
      <c r="B29">
        <v>2003</v>
      </c>
      <c r="C29" t="s">
        <v>74</v>
      </c>
      <c r="D29">
        <v>0</v>
      </c>
    </row>
    <row r="30" spans="1:4" x14ac:dyDescent="0.45">
      <c r="A30" t="s">
        <v>34</v>
      </c>
      <c r="B30">
        <v>2003</v>
      </c>
      <c r="C30" t="s">
        <v>74</v>
      </c>
      <c r="D30">
        <v>0</v>
      </c>
    </row>
    <row r="31" spans="1:4" x14ac:dyDescent="0.45">
      <c r="A31" t="s">
        <v>36</v>
      </c>
      <c r="B31">
        <v>2003</v>
      </c>
      <c r="C31" t="s">
        <v>74</v>
      </c>
      <c r="D31">
        <v>0.17</v>
      </c>
    </row>
    <row r="32" spans="1:4" x14ac:dyDescent="0.45">
      <c r="A32" t="s">
        <v>56</v>
      </c>
      <c r="B32">
        <v>2003</v>
      </c>
      <c r="C32" t="s">
        <v>74</v>
      </c>
      <c r="D32">
        <v>16.34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</v>
      </c>
    </row>
    <row r="38" spans="1:4" x14ac:dyDescent="0.45">
      <c r="A38" t="s">
        <v>32</v>
      </c>
      <c r="B38">
        <v>2004</v>
      </c>
      <c r="C38" t="s">
        <v>74</v>
      </c>
      <c r="D38">
        <v>0</v>
      </c>
    </row>
    <row r="39" spans="1:4" x14ac:dyDescent="0.45">
      <c r="A39" t="s">
        <v>34</v>
      </c>
      <c r="B39">
        <v>2004</v>
      </c>
      <c r="C39" t="s">
        <v>74</v>
      </c>
      <c r="D39">
        <v>0</v>
      </c>
    </row>
    <row r="40" spans="1:4" x14ac:dyDescent="0.45">
      <c r="A40" t="s">
        <v>36</v>
      </c>
      <c r="B40">
        <v>2004</v>
      </c>
      <c r="C40" t="s">
        <v>74</v>
      </c>
      <c r="D40">
        <v>0.15</v>
      </c>
    </row>
    <row r="41" spans="1:4" x14ac:dyDescent="0.45">
      <c r="A41" t="s">
        <v>56</v>
      </c>
      <c r="B41">
        <v>2004</v>
      </c>
      <c r="C41" t="s">
        <v>74</v>
      </c>
      <c r="D41">
        <v>16.34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</v>
      </c>
    </row>
    <row r="47" spans="1:4" x14ac:dyDescent="0.45">
      <c r="A47" t="s">
        <v>32</v>
      </c>
      <c r="B47">
        <v>2005</v>
      </c>
      <c r="C47" t="s">
        <v>74</v>
      </c>
      <c r="D47">
        <v>0</v>
      </c>
    </row>
    <row r="48" spans="1:4" x14ac:dyDescent="0.45">
      <c r="A48" t="s">
        <v>34</v>
      </c>
      <c r="B48">
        <v>2005</v>
      </c>
      <c r="C48" t="s">
        <v>74</v>
      </c>
      <c r="D48">
        <v>0</v>
      </c>
    </row>
    <row r="49" spans="1:4" x14ac:dyDescent="0.45">
      <c r="A49" t="s">
        <v>36</v>
      </c>
      <c r="B49">
        <v>2005</v>
      </c>
      <c r="C49" t="s">
        <v>74</v>
      </c>
      <c r="D49">
        <v>0.12</v>
      </c>
    </row>
    <row r="50" spans="1:4" x14ac:dyDescent="0.45">
      <c r="A50" t="s">
        <v>56</v>
      </c>
      <c r="B50">
        <v>2005</v>
      </c>
      <c r="C50" t="s">
        <v>74</v>
      </c>
      <c r="D50">
        <v>16.97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</v>
      </c>
    </row>
    <row r="56" spans="1:4" x14ac:dyDescent="0.45">
      <c r="A56" t="s">
        <v>32</v>
      </c>
      <c r="B56">
        <v>2006</v>
      </c>
      <c r="C56" t="s">
        <v>74</v>
      </c>
      <c r="D56">
        <v>0</v>
      </c>
    </row>
    <row r="57" spans="1:4" x14ac:dyDescent="0.45">
      <c r="A57" t="s">
        <v>34</v>
      </c>
      <c r="B57">
        <v>2006</v>
      </c>
      <c r="C57" t="s">
        <v>74</v>
      </c>
      <c r="D57">
        <v>0</v>
      </c>
    </row>
    <row r="58" spans="1:4" x14ac:dyDescent="0.45">
      <c r="A58" t="s">
        <v>36</v>
      </c>
      <c r="B58">
        <v>2006</v>
      </c>
      <c r="C58" t="s">
        <v>74</v>
      </c>
      <c r="D58">
        <v>0.23</v>
      </c>
    </row>
    <row r="59" spans="1:4" x14ac:dyDescent="0.45">
      <c r="A59" t="s">
        <v>56</v>
      </c>
      <c r="B59">
        <v>2006</v>
      </c>
      <c r="C59" t="s">
        <v>74</v>
      </c>
      <c r="D59">
        <v>16.7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</v>
      </c>
    </row>
    <row r="65" spans="1:4" x14ac:dyDescent="0.45">
      <c r="A65" t="s">
        <v>32</v>
      </c>
      <c r="B65">
        <v>2007</v>
      </c>
      <c r="C65" t="s">
        <v>74</v>
      </c>
      <c r="D65">
        <v>0</v>
      </c>
    </row>
    <row r="66" spans="1:4" x14ac:dyDescent="0.45">
      <c r="A66" t="s">
        <v>34</v>
      </c>
      <c r="B66">
        <v>2007</v>
      </c>
      <c r="C66" t="s">
        <v>74</v>
      </c>
      <c r="D66">
        <v>0</v>
      </c>
    </row>
    <row r="67" spans="1:4" x14ac:dyDescent="0.45">
      <c r="A67" t="s">
        <v>36</v>
      </c>
      <c r="B67">
        <v>2007</v>
      </c>
      <c r="C67" t="s">
        <v>74</v>
      </c>
      <c r="D67">
        <v>0.38</v>
      </c>
    </row>
    <row r="68" spans="1:4" x14ac:dyDescent="0.45">
      <c r="A68" t="s">
        <v>56</v>
      </c>
      <c r="B68">
        <v>2007</v>
      </c>
      <c r="C68" t="s">
        <v>74</v>
      </c>
      <c r="D68">
        <v>17.11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</v>
      </c>
    </row>
    <row r="74" spans="1:4" x14ac:dyDescent="0.45">
      <c r="A74" t="s">
        <v>32</v>
      </c>
      <c r="B74">
        <v>2008</v>
      </c>
      <c r="C74" t="s">
        <v>74</v>
      </c>
      <c r="D74">
        <v>0</v>
      </c>
    </row>
    <row r="75" spans="1:4" x14ac:dyDescent="0.45">
      <c r="A75" t="s">
        <v>34</v>
      </c>
      <c r="B75">
        <v>2008</v>
      </c>
      <c r="C75" t="s">
        <v>74</v>
      </c>
      <c r="D75">
        <v>0</v>
      </c>
    </row>
    <row r="76" spans="1:4" x14ac:dyDescent="0.45">
      <c r="A76" t="s">
        <v>36</v>
      </c>
      <c r="B76">
        <v>2008</v>
      </c>
      <c r="C76" t="s">
        <v>74</v>
      </c>
      <c r="D76">
        <v>0.35</v>
      </c>
    </row>
    <row r="77" spans="1:4" x14ac:dyDescent="0.45">
      <c r="A77" t="s">
        <v>56</v>
      </c>
      <c r="B77">
        <v>2008</v>
      </c>
      <c r="C77" t="s">
        <v>74</v>
      </c>
      <c r="D77">
        <v>15.8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</v>
      </c>
    </row>
    <row r="83" spans="1:4" x14ac:dyDescent="0.45">
      <c r="A83" t="s">
        <v>32</v>
      </c>
      <c r="B83">
        <v>2009</v>
      </c>
      <c r="C83" t="s">
        <v>74</v>
      </c>
      <c r="D83">
        <v>0</v>
      </c>
    </row>
    <row r="84" spans="1:4" x14ac:dyDescent="0.45">
      <c r="A84" t="s">
        <v>34</v>
      </c>
      <c r="B84">
        <v>2009</v>
      </c>
      <c r="C84" t="s">
        <v>74</v>
      </c>
      <c r="D84">
        <v>0</v>
      </c>
    </row>
    <row r="85" spans="1:4" x14ac:dyDescent="0.45">
      <c r="A85" t="s">
        <v>36</v>
      </c>
      <c r="B85">
        <v>2009</v>
      </c>
      <c r="C85" t="s">
        <v>74</v>
      </c>
      <c r="D85">
        <v>0.22</v>
      </c>
    </row>
    <row r="86" spans="1:4" x14ac:dyDescent="0.45">
      <c r="A86" t="s">
        <v>56</v>
      </c>
      <c r="B86">
        <v>2009</v>
      </c>
      <c r="C86" t="s">
        <v>74</v>
      </c>
      <c r="D86">
        <v>15.9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</v>
      </c>
    </row>
    <row r="92" spans="1:4" x14ac:dyDescent="0.45">
      <c r="A92" t="s">
        <v>32</v>
      </c>
      <c r="B92">
        <v>2010</v>
      </c>
      <c r="C92" t="s">
        <v>74</v>
      </c>
      <c r="D92">
        <v>0</v>
      </c>
    </row>
    <row r="93" spans="1:4" x14ac:dyDescent="0.45">
      <c r="A93" t="s">
        <v>34</v>
      </c>
      <c r="B93">
        <v>2010</v>
      </c>
      <c r="C93" t="s">
        <v>74</v>
      </c>
      <c r="D93">
        <v>0</v>
      </c>
    </row>
    <row r="94" spans="1:4" x14ac:dyDescent="0.45">
      <c r="A94" t="s">
        <v>36</v>
      </c>
      <c r="B94">
        <v>2010</v>
      </c>
      <c r="C94" t="s">
        <v>74</v>
      </c>
      <c r="D94">
        <v>0.04</v>
      </c>
    </row>
    <row r="95" spans="1:4" x14ac:dyDescent="0.45">
      <c r="A95" t="s">
        <v>56</v>
      </c>
      <c r="B95">
        <v>2010</v>
      </c>
      <c r="C95" t="s">
        <v>74</v>
      </c>
      <c r="D95">
        <v>16.399999999999999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</v>
      </c>
    </row>
    <row r="101" spans="1:4" x14ac:dyDescent="0.45">
      <c r="A101" t="s">
        <v>32</v>
      </c>
      <c r="B101">
        <v>2011</v>
      </c>
      <c r="C101" t="s">
        <v>74</v>
      </c>
      <c r="D101">
        <v>0</v>
      </c>
    </row>
    <row r="102" spans="1:4" x14ac:dyDescent="0.45">
      <c r="A102" t="s">
        <v>34</v>
      </c>
      <c r="B102">
        <v>2011</v>
      </c>
      <c r="C102" t="s">
        <v>74</v>
      </c>
      <c r="D102">
        <v>0</v>
      </c>
    </row>
    <row r="103" spans="1:4" x14ac:dyDescent="0.45">
      <c r="A103" t="s">
        <v>36</v>
      </c>
      <c r="B103">
        <v>2011</v>
      </c>
      <c r="C103" t="s">
        <v>74</v>
      </c>
      <c r="D103">
        <v>0.04</v>
      </c>
    </row>
    <row r="104" spans="1:4" x14ac:dyDescent="0.45">
      <c r="A104" t="s">
        <v>56</v>
      </c>
      <c r="B104">
        <v>2011</v>
      </c>
      <c r="C104" t="s">
        <v>74</v>
      </c>
      <c r="D104">
        <v>16.2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0</v>
      </c>
    </row>
    <row r="110" spans="1:4" x14ac:dyDescent="0.45">
      <c r="A110" t="s">
        <v>32</v>
      </c>
      <c r="B110">
        <v>2012</v>
      </c>
      <c r="C110" t="s">
        <v>74</v>
      </c>
      <c r="D110">
        <v>0</v>
      </c>
    </row>
    <row r="111" spans="1:4" x14ac:dyDescent="0.45">
      <c r="A111" t="s">
        <v>34</v>
      </c>
      <c r="B111">
        <v>2012</v>
      </c>
      <c r="C111" t="s">
        <v>74</v>
      </c>
      <c r="D111">
        <v>0</v>
      </c>
    </row>
    <row r="112" spans="1:4" x14ac:dyDescent="0.45">
      <c r="A112" t="s">
        <v>36</v>
      </c>
      <c r="B112">
        <v>2012</v>
      </c>
      <c r="C112" t="s">
        <v>74</v>
      </c>
      <c r="D112">
        <v>7.0000000000000007E-2</v>
      </c>
    </row>
    <row r="113" spans="1:4" x14ac:dyDescent="0.45">
      <c r="A113" t="s">
        <v>56</v>
      </c>
      <c r="B113">
        <v>2012</v>
      </c>
      <c r="C113" t="s">
        <v>74</v>
      </c>
      <c r="D113">
        <v>16.899999999999999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0</v>
      </c>
    </row>
    <row r="119" spans="1:4" x14ac:dyDescent="0.45">
      <c r="A119" t="s">
        <v>32</v>
      </c>
      <c r="B119">
        <v>2013</v>
      </c>
      <c r="C119" t="s">
        <v>74</v>
      </c>
      <c r="D119">
        <v>0</v>
      </c>
    </row>
    <row r="120" spans="1:4" x14ac:dyDescent="0.45">
      <c r="A120" t="s">
        <v>34</v>
      </c>
      <c r="B120">
        <v>2013</v>
      </c>
      <c r="C120" t="s">
        <v>74</v>
      </c>
      <c r="D120">
        <v>0.04</v>
      </c>
    </row>
    <row r="121" spans="1:4" x14ac:dyDescent="0.45">
      <c r="A121" t="s">
        <v>36</v>
      </c>
      <c r="B121">
        <v>2013</v>
      </c>
      <c r="C121" t="s">
        <v>74</v>
      </c>
      <c r="D121">
        <v>0</v>
      </c>
    </row>
    <row r="122" spans="1:4" x14ac:dyDescent="0.45">
      <c r="A122" t="s">
        <v>56</v>
      </c>
      <c r="B122">
        <v>2013</v>
      </c>
      <c r="C122" t="s">
        <v>74</v>
      </c>
      <c r="D122">
        <v>17.07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</v>
      </c>
    </row>
    <row r="127" spans="1:4" x14ac:dyDescent="0.45">
      <c r="A127" t="s">
        <v>91</v>
      </c>
      <c r="B127">
        <v>2013</v>
      </c>
      <c r="C127" t="s">
        <v>74</v>
      </c>
      <c r="D127">
        <v>0</v>
      </c>
    </row>
    <row r="128" spans="1:4" x14ac:dyDescent="0.45">
      <c r="A128" t="s">
        <v>32</v>
      </c>
      <c r="B128">
        <v>2014</v>
      </c>
      <c r="C128" t="s">
        <v>74</v>
      </c>
      <c r="D128">
        <v>0</v>
      </c>
    </row>
    <row r="129" spans="1:4" x14ac:dyDescent="0.45">
      <c r="A129" t="s">
        <v>34</v>
      </c>
      <c r="B129">
        <v>2014</v>
      </c>
      <c r="C129" t="s">
        <v>74</v>
      </c>
      <c r="D129">
        <v>0.16</v>
      </c>
    </row>
    <row r="130" spans="1:4" x14ac:dyDescent="0.45">
      <c r="A130" t="s">
        <v>36</v>
      </c>
      <c r="B130">
        <v>2014</v>
      </c>
      <c r="C130" t="s">
        <v>74</v>
      </c>
      <c r="D130">
        <v>0</v>
      </c>
    </row>
    <row r="131" spans="1:4" x14ac:dyDescent="0.45">
      <c r="A131" t="s">
        <v>56</v>
      </c>
      <c r="B131">
        <v>2014</v>
      </c>
      <c r="C131" t="s">
        <v>74</v>
      </c>
      <c r="D131">
        <v>16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</v>
      </c>
    </row>
    <row r="136" spans="1:4" x14ac:dyDescent="0.45">
      <c r="A136" t="s">
        <v>91</v>
      </c>
      <c r="B136">
        <v>2014</v>
      </c>
      <c r="C136" t="s">
        <v>74</v>
      </c>
      <c r="D136">
        <v>0</v>
      </c>
    </row>
    <row r="137" spans="1:4" x14ac:dyDescent="0.45">
      <c r="A137" t="s">
        <v>32</v>
      </c>
      <c r="B137">
        <v>2015</v>
      </c>
      <c r="C137" t="s">
        <v>74</v>
      </c>
      <c r="D137">
        <v>0</v>
      </c>
    </row>
    <row r="138" spans="1:4" x14ac:dyDescent="0.45">
      <c r="A138" t="s">
        <v>34</v>
      </c>
      <c r="B138">
        <v>2015</v>
      </c>
      <c r="C138" t="s">
        <v>74</v>
      </c>
      <c r="D138">
        <v>0.16</v>
      </c>
    </row>
    <row r="139" spans="1:4" x14ac:dyDescent="0.45">
      <c r="A139" t="s">
        <v>36</v>
      </c>
      <c r="B139">
        <v>2015</v>
      </c>
      <c r="C139" t="s">
        <v>74</v>
      </c>
      <c r="D139">
        <v>0</v>
      </c>
    </row>
    <row r="140" spans="1:4" x14ac:dyDescent="0.45">
      <c r="A140" t="s">
        <v>56</v>
      </c>
      <c r="B140">
        <v>2015</v>
      </c>
      <c r="C140" t="s">
        <v>74</v>
      </c>
      <c r="D140">
        <v>17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</v>
      </c>
    </row>
    <row r="145" spans="1:4" x14ac:dyDescent="0.45">
      <c r="A145" t="s">
        <v>91</v>
      </c>
      <c r="B145">
        <v>2015</v>
      </c>
      <c r="C145" t="s">
        <v>74</v>
      </c>
      <c r="D145">
        <v>0</v>
      </c>
    </row>
    <row r="146" spans="1:4" x14ac:dyDescent="0.45">
      <c r="A146" t="s">
        <v>32</v>
      </c>
      <c r="B146">
        <v>2016</v>
      </c>
      <c r="C146" t="s">
        <v>74</v>
      </c>
      <c r="D146">
        <v>0</v>
      </c>
    </row>
    <row r="147" spans="1:4" x14ac:dyDescent="0.45">
      <c r="A147" t="s">
        <v>34</v>
      </c>
      <c r="B147">
        <v>2016</v>
      </c>
      <c r="C147" t="s">
        <v>74</v>
      </c>
      <c r="D147">
        <v>0.61</v>
      </c>
    </row>
    <row r="148" spans="1:4" x14ac:dyDescent="0.45">
      <c r="A148" t="s">
        <v>36</v>
      </c>
      <c r="B148">
        <v>2016</v>
      </c>
      <c r="C148" t="s">
        <v>74</v>
      </c>
      <c r="D148">
        <v>0</v>
      </c>
    </row>
    <row r="149" spans="1:4" x14ac:dyDescent="0.45">
      <c r="A149" t="s">
        <v>56</v>
      </c>
      <c r="B149">
        <v>2016</v>
      </c>
      <c r="C149" t="s">
        <v>74</v>
      </c>
      <c r="D149">
        <v>16.63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</v>
      </c>
    </row>
    <row r="154" spans="1:4" x14ac:dyDescent="0.45">
      <c r="A154" t="s">
        <v>91</v>
      </c>
      <c r="B154">
        <v>2016</v>
      </c>
      <c r="C154" t="s">
        <v>74</v>
      </c>
      <c r="D154">
        <v>0</v>
      </c>
    </row>
    <row r="155" spans="1:4" x14ac:dyDescent="0.45">
      <c r="A155" t="s">
        <v>32</v>
      </c>
      <c r="B155">
        <v>2017</v>
      </c>
      <c r="C155" t="s">
        <v>74</v>
      </c>
      <c r="D155">
        <v>0</v>
      </c>
    </row>
    <row r="156" spans="1:4" x14ac:dyDescent="0.45">
      <c r="A156" t="s">
        <v>34</v>
      </c>
      <c r="B156">
        <v>2017</v>
      </c>
      <c r="C156" t="s">
        <v>74</v>
      </c>
      <c r="D156">
        <v>0.98</v>
      </c>
    </row>
    <row r="157" spans="1:4" x14ac:dyDescent="0.45">
      <c r="A157" t="s">
        <v>36</v>
      </c>
      <c r="B157">
        <v>2017</v>
      </c>
      <c r="C157" t="s">
        <v>74</v>
      </c>
      <c r="D157">
        <v>0</v>
      </c>
    </row>
    <row r="158" spans="1:4" x14ac:dyDescent="0.45">
      <c r="A158" t="s">
        <v>56</v>
      </c>
      <c r="B158">
        <v>2017</v>
      </c>
      <c r="C158" t="s">
        <v>74</v>
      </c>
      <c r="D158">
        <v>17.13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</v>
      </c>
    </row>
    <row r="163" spans="1:4" x14ac:dyDescent="0.45">
      <c r="A163" t="s">
        <v>91</v>
      </c>
      <c r="B163">
        <v>2017</v>
      </c>
      <c r="C163" t="s">
        <v>74</v>
      </c>
      <c r="D163">
        <v>0</v>
      </c>
    </row>
    <row r="164" spans="1:4" x14ac:dyDescent="0.45">
      <c r="A164" t="s">
        <v>32</v>
      </c>
      <c r="B164">
        <v>2018</v>
      </c>
      <c r="C164" t="s">
        <v>74</v>
      </c>
      <c r="D164">
        <v>0</v>
      </c>
    </row>
    <row r="165" spans="1:4" x14ac:dyDescent="0.45">
      <c r="A165" t="s">
        <v>34</v>
      </c>
      <c r="B165">
        <v>2018</v>
      </c>
      <c r="C165" t="s">
        <v>74</v>
      </c>
      <c r="D165">
        <v>1.35</v>
      </c>
    </row>
    <row r="166" spans="1:4" x14ac:dyDescent="0.45">
      <c r="A166" t="s">
        <v>36</v>
      </c>
      <c r="B166">
        <v>2018</v>
      </c>
      <c r="C166" t="s">
        <v>74</v>
      </c>
      <c r="D166">
        <v>0</v>
      </c>
    </row>
    <row r="167" spans="1:4" x14ac:dyDescent="0.45">
      <c r="A167" t="s">
        <v>56</v>
      </c>
      <c r="B167">
        <v>2018</v>
      </c>
      <c r="C167" t="s">
        <v>74</v>
      </c>
      <c r="D167">
        <v>18.39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</v>
      </c>
    </row>
    <row r="172" spans="1:4" x14ac:dyDescent="0.45">
      <c r="A172" t="s">
        <v>91</v>
      </c>
      <c r="B172">
        <v>2018</v>
      </c>
      <c r="C172" t="s">
        <v>74</v>
      </c>
      <c r="D172">
        <v>0</v>
      </c>
    </row>
    <row r="173" spans="1:4" x14ac:dyDescent="0.45">
      <c r="A173" t="s">
        <v>32</v>
      </c>
      <c r="B173">
        <v>2019</v>
      </c>
      <c r="C173" t="s">
        <v>74</v>
      </c>
      <c r="D173">
        <v>0</v>
      </c>
    </row>
    <row r="174" spans="1:4" x14ac:dyDescent="0.45">
      <c r="A174" t="s">
        <v>34</v>
      </c>
      <c r="B174">
        <v>2019</v>
      </c>
      <c r="C174" t="s">
        <v>74</v>
      </c>
      <c r="D174">
        <v>1.48</v>
      </c>
    </row>
    <row r="175" spans="1:4" x14ac:dyDescent="0.45">
      <c r="A175" t="s">
        <v>36</v>
      </c>
      <c r="B175">
        <v>2019</v>
      </c>
      <c r="C175" t="s">
        <v>74</v>
      </c>
      <c r="D175">
        <v>0.31</v>
      </c>
    </row>
    <row r="176" spans="1:4" x14ac:dyDescent="0.45">
      <c r="A176" t="s">
        <v>56</v>
      </c>
      <c r="B176">
        <v>2019</v>
      </c>
      <c r="C176" t="s">
        <v>74</v>
      </c>
      <c r="D176">
        <v>19.170000000000002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</v>
      </c>
    </row>
    <row r="181" spans="1:4" x14ac:dyDescent="0.45">
      <c r="A181" t="s">
        <v>91</v>
      </c>
      <c r="B181">
        <v>2019</v>
      </c>
      <c r="C181" t="s">
        <v>74</v>
      </c>
      <c r="D181">
        <v>0</v>
      </c>
    </row>
    <row r="182" spans="1:4" x14ac:dyDescent="0.45">
      <c r="A182" t="s">
        <v>32</v>
      </c>
      <c r="B182">
        <v>2020</v>
      </c>
      <c r="C182" t="s">
        <v>74</v>
      </c>
      <c r="D182">
        <v>0</v>
      </c>
    </row>
    <row r="183" spans="1:4" x14ac:dyDescent="0.45">
      <c r="A183" t="s">
        <v>34</v>
      </c>
      <c r="B183">
        <v>2020</v>
      </c>
      <c r="C183" t="s">
        <v>74</v>
      </c>
      <c r="D183">
        <v>1.66</v>
      </c>
    </row>
    <row r="184" spans="1:4" x14ac:dyDescent="0.45">
      <c r="A184" t="s">
        <v>36</v>
      </c>
      <c r="B184">
        <v>2020</v>
      </c>
      <c r="C184" t="s">
        <v>74</v>
      </c>
      <c r="D184">
        <v>0.33</v>
      </c>
    </row>
    <row r="185" spans="1:4" x14ac:dyDescent="0.45">
      <c r="A185" t="s">
        <v>56</v>
      </c>
      <c r="B185">
        <v>2020</v>
      </c>
      <c r="C185" t="s">
        <v>74</v>
      </c>
      <c r="D185">
        <v>18.11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</v>
      </c>
    </row>
    <row r="190" spans="1:4" x14ac:dyDescent="0.45">
      <c r="A190" t="s">
        <v>91</v>
      </c>
      <c r="B190">
        <v>2020</v>
      </c>
      <c r="C190" t="s">
        <v>74</v>
      </c>
      <c r="D190">
        <v>0</v>
      </c>
    </row>
    <row r="191" spans="1:4" x14ac:dyDescent="0.45">
      <c r="A191" t="s">
        <v>32</v>
      </c>
      <c r="B191">
        <v>2021</v>
      </c>
      <c r="C191" t="s">
        <v>74</v>
      </c>
      <c r="D191">
        <v>0</v>
      </c>
    </row>
    <row r="192" spans="1:4" x14ac:dyDescent="0.45">
      <c r="A192" t="s">
        <v>34</v>
      </c>
      <c r="B192">
        <v>2021</v>
      </c>
      <c r="C192" t="s">
        <v>74</v>
      </c>
      <c r="D192">
        <v>1.75</v>
      </c>
    </row>
    <row r="193" spans="1:4" x14ac:dyDescent="0.45">
      <c r="A193" t="s">
        <v>36</v>
      </c>
      <c r="B193">
        <v>2021</v>
      </c>
      <c r="C193" t="s">
        <v>74</v>
      </c>
      <c r="D193">
        <v>0.31</v>
      </c>
    </row>
    <row r="194" spans="1:4" x14ac:dyDescent="0.45">
      <c r="A194" t="s">
        <v>56</v>
      </c>
      <c r="B194">
        <v>2021</v>
      </c>
      <c r="C194" t="s">
        <v>74</v>
      </c>
      <c r="D194">
        <v>18.66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</v>
      </c>
    </row>
    <row r="199" spans="1:4" x14ac:dyDescent="0.45">
      <c r="A199" t="s">
        <v>91</v>
      </c>
      <c r="B199">
        <v>2021</v>
      </c>
      <c r="C199" t="s">
        <v>74</v>
      </c>
      <c r="D199">
        <v>0</v>
      </c>
    </row>
    <row r="200" spans="1:4" x14ac:dyDescent="0.45">
      <c r="A200" t="s">
        <v>32</v>
      </c>
      <c r="B200">
        <v>2022</v>
      </c>
      <c r="C200" t="s">
        <v>74</v>
      </c>
      <c r="D200">
        <v>0</v>
      </c>
    </row>
    <row r="201" spans="1:4" x14ac:dyDescent="0.45">
      <c r="A201" t="s">
        <v>34</v>
      </c>
      <c r="B201">
        <v>2022</v>
      </c>
      <c r="C201" t="s">
        <v>74</v>
      </c>
      <c r="D201">
        <v>1.89</v>
      </c>
    </row>
    <row r="202" spans="1:4" x14ac:dyDescent="0.45">
      <c r="A202" t="s">
        <v>36</v>
      </c>
      <c r="B202">
        <v>2022</v>
      </c>
      <c r="C202" t="s">
        <v>74</v>
      </c>
      <c r="D202">
        <v>0.33</v>
      </c>
    </row>
    <row r="203" spans="1:4" x14ac:dyDescent="0.45">
      <c r="A203" t="s">
        <v>56</v>
      </c>
      <c r="B203">
        <v>2022</v>
      </c>
      <c r="C203" t="s">
        <v>74</v>
      </c>
      <c r="D203">
        <v>18.66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</v>
      </c>
    </row>
    <row r="208" spans="1:4" x14ac:dyDescent="0.45">
      <c r="A208" t="s">
        <v>91</v>
      </c>
      <c r="B208">
        <v>2022</v>
      </c>
      <c r="C208" t="s">
        <v>74</v>
      </c>
      <c r="D208">
        <v>0</v>
      </c>
    </row>
    <row r="209" spans="1:4" x14ac:dyDescent="0.45">
      <c r="A209" t="s">
        <v>32</v>
      </c>
      <c r="B209">
        <v>2000</v>
      </c>
      <c r="C209" t="s">
        <v>75</v>
      </c>
    </row>
    <row r="210" spans="1:4" x14ac:dyDescent="0.45">
      <c r="A210" t="s">
        <v>34</v>
      </c>
      <c r="B210">
        <v>2000</v>
      </c>
      <c r="C210" t="s">
        <v>75</v>
      </c>
      <c r="D210">
        <v>0</v>
      </c>
    </row>
    <row r="211" spans="1:4" x14ac:dyDescent="0.45">
      <c r="A211" t="s">
        <v>36</v>
      </c>
      <c r="B211">
        <v>2000</v>
      </c>
      <c r="C211" t="s">
        <v>75</v>
      </c>
      <c r="D211">
        <v>0.21</v>
      </c>
    </row>
    <row r="212" spans="1:4" x14ac:dyDescent="0.45">
      <c r="A212" t="s">
        <v>56</v>
      </c>
      <c r="B212">
        <v>2000</v>
      </c>
      <c r="C212" t="s">
        <v>75</v>
      </c>
      <c r="D212">
        <v>4.0599999999999996</v>
      </c>
    </row>
    <row r="213" spans="1:4" x14ac:dyDescent="0.45">
      <c r="A213" t="s">
        <v>57</v>
      </c>
      <c r="B213">
        <v>2000</v>
      </c>
      <c r="C213" t="s">
        <v>75</v>
      </c>
    </row>
    <row r="214" spans="1:4" x14ac:dyDescent="0.45">
      <c r="A214" t="s">
        <v>38</v>
      </c>
      <c r="B214">
        <v>2000</v>
      </c>
      <c r="C214" t="s">
        <v>75</v>
      </c>
    </row>
    <row r="215" spans="1:4" x14ac:dyDescent="0.45">
      <c r="A215" t="s">
        <v>32</v>
      </c>
      <c r="B215">
        <v>2000</v>
      </c>
      <c r="C215" t="s">
        <v>75</v>
      </c>
    </row>
    <row r="216" spans="1:4" x14ac:dyDescent="0.45">
      <c r="A216" t="s">
        <v>58</v>
      </c>
      <c r="B216">
        <v>2000</v>
      </c>
      <c r="C216" t="s">
        <v>75</v>
      </c>
      <c r="D216">
        <v>0</v>
      </c>
    </row>
    <row r="217" spans="1:4" x14ac:dyDescent="0.45">
      <c r="A217" t="s">
        <v>91</v>
      </c>
      <c r="B217">
        <v>2000</v>
      </c>
      <c r="C217" t="s">
        <v>75</v>
      </c>
    </row>
    <row r="218" spans="1:4" x14ac:dyDescent="0.45">
      <c r="A218" t="s">
        <v>32</v>
      </c>
      <c r="B218">
        <v>2001</v>
      </c>
      <c r="C218" t="s">
        <v>75</v>
      </c>
    </row>
    <row r="219" spans="1:4" x14ac:dyDescent="0.45">
      <c r="A219" t="s">
        <v>34</v>
      </c>
      <c r="B219">
        <v>2001</v>
      </c>
      <c r="C219" t="s">
        <v>75</v>
      </c>
      <c r="D219">
        <v>0</v>
      </c>
    </row>
    <row r="220" spans="1:4" x14ac:dyDescent="0.45">
      <c r="A220" t="s">
        <v>36</v>
      </c>
      <c r="B220">
        <v>2001</v>
      </c>
      <c r="C220" t="s">
        <v>75</v>
      </c>
      <c r="D220">
        <v>0.21</v>
      </c>
    </row>
    <row r="221" spans="1:4" x14ac:dyDescent="0.45">
      <c r="A221" t="s">
        <v>56</v>
      </c>
      <c r="B221">
        <v>2001</v>
      </c>
      <c r="C221" t="s">
        <v>75</v>
      </c>
      <c r="D221">
        <v>4.0599999999999996</v>
      </c>
    </row>
    <row r="222" spans="1:4" x14ac:dyDescent="0.45">
      <c r="A222" t="s">
        <v>57</v>
      </c>
      <c r="B222">
        <v>2001</v>
      </c>
      <c r="C222" t="s">
        <v>75</v>
      </c>
    </row>
    <row r="223" spans="1:4" x14ac:dyDescent="0.45">
      <c r="A223" t="s">
        <v>38</v>
      </c>
      <c r="B223">
        <v>2001</v>
      </c>
      <c r="C223" t="s">
        <v>75</v>
      </c>
    </row>
    <row r="224" spans="1:4" x14ac:dyDescent="0.45">
      <c r="A224" t="s">
        <v>32</v>
      </c>
      <c r="B224">
        <v>2001</v>
      </c>
      <c r="C224" t="s">
        <v>75</v>
      </c>
    </row>
    <row r="225" spans="1:4" x14ac:dyDescent="0.45">
      <c r="A225" t="s">
        <v>58</v>
      </c>
      <c r="B225">
        <v>2001</v>
      </c>
      <c r="C225" t="s">
        <v>75</v>
      </c>
      <c r="D225">
        <v>0</v>
      </c>
    </row>
    <row r="226" spans="1:4" x14ac:dyDescent="0.45">
      <c r="A226" t="s">
        <v>91</v>
      </c>
      <c r="B226">
        <v>2001</v>
      </c>
      <c r="C226" t="s">
        <v>75</v>
      </c>
    </row>
    <row r="227" spans="1:4" x14ac:dyDescent="0.45">
      <c r="A227" t="s">
        <v>32</v>
      </c>
      <c r="B227">
        <v>2002</v>
      </c>
      <c r="C227" t="s">
        <v>75</v>
      </c>
    </row>
    <row r="228" spans="1:4" x14ac:dyDescent="0.45">
      <c r="A228" t="s">
        <v>34</v>
      </c>
      <c r="B228">
        <v>2002</v>
      </c>
      <c r="C228" t="s">
        <v>75</v>
      </c>
      <c r="D228">
        <v>0</v>
      </c>
    </row>
    <row r="229" spans="1:4" x14ac:dyDescent="0.45">
      <c r="A229" t="s">
        <v>36</v>
      </c>
      <c r="B229">
        <v>2002</v>
      </c>
      <c r="C229" t="s">
        <v>75</v>
      </c>
      <c r="D229">
        <v>0.21</v>
      </c>
    </row>
    <row r="230" spans="1:4" x14ac:dyDescent="0.45">
      <c r="A230" t="s">
        <v>56</v>
      </c>
      <c r="B230">
        <v>2002</v>
      </c>
      <c r="C230" t="s">
        <v>75</v>
      </c>
      <c r="D230">
        <v>4.0599999999999996</v>
      </c>
    </row>
    <row r="231" spans="1:4" x14ac:dyDescent="0.45">
      <c r="A231" t="s">
        <v>57</v>
      </c>
      <c r="B231">
        <v>2002</v>
      </c>
      <c r="C231" t="s">
        <v>75</v>
      </c>
    </row>
    <row r="232" spans="1:4" x14ac:dyDescent="0.45">
      <c r="A232" t="s">
        <v>38</v>
      </c>
      <c r="B232">
        <v>2002</v>
      </c>
      <c r="C232" t="s">
        <v>75</v>
      </c>
    </row>
    <row r="233" spans="1:4" x14ac:dyDescent="0.45">
      <c r="A233" t="s">
        <v>32</v>
      </c>
      <c r="B233">
        <v>2002</v>
      </c>
      <c r="C233" t="s">
        <v>75</v>
      </c>
    </row>
    <row r="234" spans="1:4" x14ac:dyDescent="0.45">
      <c r="A234" t="s">
        <v>58</v>
      </c>
      <c r="B234">
        <v>2002</v>
      </c>
      <c r="C234" t="s">
        <v>75</v>
      </c>
      <c r="D234">
        <v>0</v>
      </c>
    </row>
    <row r="235" spans="1:4" x14ac:dyDescent="0.45">
      <c r="A235" t="s">
        <v>91</v>
      </c>
      <c r="B235">
        <v>2002</v>
      </c>
      <c r="C235" t="s">
        <v>75</v>
      </c>
    </row>
    <row r="236" spans="1:4" x14ac:dyDescent="0.45">
      <c r="A236" t="s">
        <v>32</v>
      </c>
      <c r="B236">
        <v>2003</v>
      </c>
      <c r="C236" t="s">
        <v>75</v>
      </c>
    </row>
    <row r="237" spans="1:4" x14ac:dyDescent="0.45">
      <c r="A237" t="s">
        <v>34</v>
      </c>
      <c r="B237">
        <v>2003</v>
      </c>
      <c r="C237" t="s">
        <v>75</v>
      </c>
      <c r="D237">
        <v>0</v>
      </c>
    </row>
    <row r="238" spans="1:4" x14ac:dyDescent="0.45">
      <c r="A238" t="s">
        <v>36</v>
      </c>
      <c r="B238">
        <v>2003</v>
      </c>
      <c r="C238" t="s">
        <v>75</v>
      </c>
      <c r="D238">
        <v>0.21</v>
      </c>
    </row>
    <row r="239" spans="1:4" x14ac:dyDescent="0.45">
      <c r="A239" t="s">
        <v>56</v>
      </c>
      <c r="B239">
        <v>2003</v>
      </c>
      <c r="C239" t="s">
        <v>75</v>
      </c>
      <c r="D239">
        <v>4.0599999999999996</v>
      </c>
    </row>
    <row r="240" spans="1:4" x14ac:dyDescent="0.45">
      <c r="A240" t="s">
        <v>57</v>
      </c>
      <c r="B240">
        <v>2003</v>
      </c>
      <c r="C240" t="s">
        <v>75</v>
      </c>
    </row>
    <row r="241" spans="1:4" x14ac:dyDescent="0.45">
      <c r="A241" t="s">
        <v>38</v>
      </c>
      <c r="B241">
        <v>2003</v>
      </c>
      <c r="C241" t="s">
        <v>75</v>
      </c>
    </row>
    <row r="242" spans="1:4" x14ac:dyDescent="0.45">
      <c r="A242" t="s">
        <v>32</v>
      </c>
      <c r="B242">
        <v>2003</v>
      </c>
      <c r="C242" t="s">
        <v>75</v>
      </c>
    </row>
    <row r="243" spans="1:4" x14ac:dyDescent="0.45">
      <c r="A243" t="s">
        <v>58</v>
      </c>
      <c r="B243">
        <v>2003</v>
      </c>
      <c r="C243" t="s">
        <v>75</v>
      </c>
      <c r="D243">
        <v>0</v>
      </c>
    </row>
    <row r="244" spans="1:4" x14ac:dyDescent="0.45">
      <c r="A244" t="s">
        <v>91</v>
      </c>
      <c r="B244">
        <v>2003</v>
      </c>
      <c r="C244" t="s">
        <v>75</v>
      </c>
    </row>
    <row r="245" spans="1:4" x14ac:dyDescent="0.45">
      <c r="A245" t="s">
        <v>32</v>
      </c>
      <c r="B245">
        <v>2004</v>
      </c>
      <c r="C245" t="s">
        <v>75</v>
      </c>
    </row>
    <row r="246" spans="1:4" x14ac:dyDescent="0.45">
      <c r="A246" t="s">
        <v>34</v>
      </c>
      <c r="B246">
        <v>2004</v>
      </c>
      <c r="C246" t="s">
        <v>75</v>
      </c>
      <c r="D246">
        <v>0</v>
      </c>
    </row>
    <row r="247" spans="1:4" x14ac:dyDescent="0.45">
      <c r="A247" t="s">
        <v>36</v>
      </c>
      <c r="B247">
        <v>2004</v>
      </c>
      <c r="C247" t="s">
        <v>75</v>
      </c>
      <c r="D247">
        <v>0.21</v>
      </c>
    </row>
    <row r="248" spans="1:4" x14ac:dyDescent="0.45">
      <c r="A248" t="s">
        <v>56</v>
      </c>
      <c r="B248">
        <v>2004</v>
      </c>
      <c r="C248" t="s">
        <v>75</v>
      </c>
      <c r="D248">
        <v>4.0599999999999996</v>
      </c>
    </row>
    <row r="249" spans="1:4" x14ac:dyDescent="0.45">
      <c r="A249" t="s">
        <v>57</v>
      </c>
      <c r="B249">
        <v>2004</v>
      </c>
      <c r="C249" t="s">
        <v>75</v>
      </c>
    </row>
    <row r="250" spans="1:4" x14ac:dyDescent="0.45">
      <c r="A250" t="s">
        <v>38</v>
      </c>
      <c r="B250">
        <v>2004</v>
      </c>
      <c r="C250" t="s">
        <v>75</v>
      </c>
    </row>
    <row r="251" spans="1:4" x14ac:dyDescent="0.45">
      <c r="A251" t="s">
        <v>32</v>
      </c>
      <c r="B251">
        <v>2004</v>
      </c>
      <c r="C251" t="s">
        <v>75</v>
      </c>
    </row>
    <row r="252" spans="1:4" x14ac:dyDescent="0.45">
      <c r="A252" t="s">
        <v>58</v>
      </c>
      <c r="B252">
        <v>2004</v>
      </c>
      <c r="C252" t="s">
        <v>75</v>
      </c>
      <c r="D252">
        <v>0</v>
      </c>
    </row>
    <row r="253" spans="1:4" x14ac:dyDescent="0.45">
      <c r="A253" t="s">
        <v>91</v>
      </c>
      <c r="B253">
        <v>2004</v>
      </c>
      <c r="C253" t="s">
        <v>75</v>
      </c>
    </row>
    <row r="254" spans="1:4" x14ac:dyDescent="0.45">
      <c r="A254" t="s">
        <v>32</v>
      </c>
      <c r="B254">
        <v>2005</v>
      </c>
      <c r="C254" t="s">
        <v>75</v>
      </c>
    </row>
    <row r="255" spans="1:4" x14ac:dyDescent="0.45">
      <c r="A255" t="s">
        <v>34</v>
      </c>
      <c r="B255">
        <v>2005</v>
      </c>
      <c r="C255" t="s">
        <v>75</v>
      </c>
      <c r="D255">
        <v>0</v>
      </c>
    </row>
    <row r="256" spans="1:4" x14ac:dyDescent="0.45">
      <c r="A256" t="s">
        <v>36</v>
      </c>
      <c r="B256">
        <v>2005</v>
      </c>
      <c r="C256" t="s">
        <v>75</v>
      </c>
      <c r="D256">
        <v>0.21</v>
      </c>
    </row>
    <row r="257" spans="1:4" x14ac:dyDescent="0.45">
      <c r="A257" t="s">
        <v>56</v>
      </c>
      <c r="B257">
        <v>2005</v>
      </c>
      <c r="C257" t="s">
        <v>75</v>
      </c>
      <c r="D257">
        <v>4.12</v>
      </c>
    </row>
    <row r="258" spans="1:4" x14ac:dyDescent="0.45">
      <c r="A258" t="s">
        <v>57</v>
      </c>
      <c r="B258">
        <v>2005</v>
      </c>
      <c r="C258" t="s">
        <v>75</v>
      </c>
    </row>
    <row r="259" spans="1:4" x14ac:dyDescent="0.45">
      <c r="A259" t="s">
        <v>38</v>
      </c>
      <c r="B259">
        <v>2005</v>
      </c>
      <c r="C259" t="s">
        <v>75</v>
      </c>
    </row>
    <row r="260" spans="1:4" x14ac:dyDescent="0.45">
      <c r="A260" t="s">
        <v>32</v>
      </c>
      <c r="B260">
        <v>2005</v>
      </c>
      <c r="C260" t="s">
        <v>75</v>
      </c>
    </row>
    <row r="261" spans="1:4" x14ac:dyDescent="0.45">
      <c r="A261" t="s">
        <v>58</v>
      </c>
      <c r="B261">
        <v>2005</v>
      </c>
      <c r="C261" t="s">
        <v>75</v>
      </c>
      <c r="D261">
        <v>0</v>
      </c>
    </row>
    <row r="262" spans="1:4" x14ac:dyDescent="0.45">
      <c r="A262" t="s">
        <v>91</v>
      </c>
      <c r="B262">
        <v>2005</v>
      </c>
      <c r="C262" t="s">
        <v>75</v>
      </c>
    </row>
    <row r="263" spans="1:4" x14ac:dyDescent="0.45">
      <c r="A263" t="s">
        <v>32</v>
      </c>
      <c r="B263">
        <v>2006</v>
      </c>
      <c r="C263" t="s">
        <v>75</v>
      </c>
    </row>
    <row r="264" spans="1:4" x14ac:dyDescent="0.45">
      <c r="A264" t="s">
        <v>34</v>
      </c>
      <c r="B264">
        <v>2006</v>
      </c>
      <c r="C264" t="s">
        <v>75</v>
      </c>
      <c r="D264">
        <v>0</v>
      </c>
    </row>
    <row r="265" spans="1:4" x14ac:dyDescent="0.45">
      <c r="A265" t="s">
        <v>36</v>
      </c>
      <c r="B265">
        <v>2006</v>
      </c>
      <c r="C265" t="s">
        <v>75</v>
      </c>
      <c r="D265">
        <v>0.21</v>
      </c>
    </row>
    <row r="266" spans="1:4" x14ac:dyDescent="0.45">
      <c r="A266" t="s">
        <v>56</v>
      </c>
      <c r="B266">
        <v>2006</v>
      </c>
      <c r="C266" t="s">
        <v>75</v>
      </c>
      <c r="D266">
        <v>4.12</v>
      </c>
    </row>
    <row r="267" spans="1:4" x14ac:dyDescent="0.45">
      <c r="A267" t="s">
        <v>57</v>
      </c>
      <c r="B267">
        <v>2006</v>
      </c>
      <c r="C267" t="s">
        <v>75</v>
      </c>
    </row>
    <row r="268" spans="1:4" x14ac:dyDescent="0.45">
      <c r="A268" t="s">
        <v>38</v>
      </c>
      <c r="B268">
        <v>2006</v>
      </c>
      <c r="C268" t="s">
        <v>75</v>
      </c>
    </row>
    <row r="269" spans="1:4" x14ac:dyDescent="0.45">
      <c r="A269" t="s">
        <v>32</v>
      </c>
      <c r="B269">
        <v>2006</v>
      </c>
      <c r="C269" t="s">
        <v>75</v>
      </c>
    </row>
    <row r="270" spans="1:4" x14ac:dyDescent="0.45">
      <c r="A270" t="s">
        <v>58</v>
      </c>
      <c r="B270">
        <v>2006</v>
      </c>
      <c r="C270" t="s">
        <v>75</v>
      </c>
      <c r="D270">
        <v>0</v>
      </c>
    </row>
    <row r="271" spans="1:4" x14ac:dyDescent="0.45">
      <c r="A271" t="s">
        <v>91</v>
      </c>
      <c r="B271">
        <v>2006</v>
      </c>
      <c r="C271" t="s">
        <v>75</v>
      </c>
    </row>
    <row r="272" spans="1:4" x14ac:dyDescent="0.45">
      <c r="A272" t="s">
        <v>32</v>
      </c>
      <c r="B272">
        <v>2007</v>
      </c>
      <c r="C272" t="s">
        <v>75</v>
      </c>
    </row>
    <row r="273" spans="1:4" x14ac:dyDescent="0.45">
      <c r="A273" t="s">
        <v>34</v>
      </c>
      <c r="B273">
        <v>2007</v>
      </c>
      <c r="C273" t="s">
        <v>75</v>
      </c>
      <c r="D273">
        <v>0</v>
      </c>
    </row>
    <row r="274" spans="1:4" x14ac:dyDescent="0.45">
      <c r="A274" t="s">
        <v>36</v>
      </c>
      <c r="B274">
        <v>2007</v>
      </c>
      <c r="C274" t="s">
        <v>75</v>
      </c>
      <c r="D274">
        <v>0.21</v>
      </c>
    </row>
    <row r="275" spans="1:4" x14ac:dyDescent="0.45">
      <c r="A275" t="s">
        <v>56</v>
      </c>
      <c r="B275">
        <v>2007</v>
      </c>
      <c r="C275" t="s">
        <v>75</v>
      </c>
      <c r="D275">
        <v>4.12</v>
      </c>
    </row>
    <row r="276" spans="1:4" x14ac:dyDescent="0.45">
      <c r="A276" t="s">
        <v>57</v>
      </c>
      <c r="B276">
        <v>2007</v>
      </c>
      <c r="C276" t="s">
        <v>75</v>
      </c>
    </row>
    <row r="277" spans="1:4" x14ac:dyDescent="0.45">
      <c r="A277" t="s">
        <v>38</v>
      </c>
      <c r="B277">
        <v>2007</v>
      </c>
      <c r="C277" t="s">
        <v>75</v>
      </c>
    </row>
    <row r="278" spans="1:4" x14ac:dyDescent="0.45">
      <c r="A278" t="s">
        <v>32</v>
      </c>
      <c r="B278">
        <v>2007</v>
      </c>
      <c r="C278" t="s">
        <v>75</v>
      </c>
    </row>
    <row r="279" spans="1:4" x14ac:dyDescent="0.45">
      <c r="A279" t="s">
        <v>58</v>
      </c>
      <c r="B279">
        <v>2007</v>
      </c>
      <c r="C279" t="s">
        <v>75</v>
      </c>
      <c r="D279">
        <v>0</v>
      </c>
    </row>
    <row r="280" spans="1:4" x14ac:dyDescent="0.45">
      <c r="A280" t="s">
        <v>91</v>
      </c>
      <c r="B280">
        <v>2007</v>
      </c>
      <c r="C280" t="s">
        <v>75</v>
      </c>
    </row>
    <row r="281" spans="1:4" x14ac:dyDescent="0.45">
      <c r="A281" t="s">
        <v>32</v>
      </c>
      <c r="B281">
        <v>2008</v>
      </c>
      <c r="C281" t="s">
        <v>75</v>
      </c>
    </row>
    <row r="282" spans="1:4" x14ac:dyDescent="0.45">
      <c r="A282" t="s">
        <v>34</v>
      </c>
      <c r="B282">
        <v>2008</v>
      </c>
      <c r="C282" t="s">
        <v>75</v>
      </c>
      <c r="D282">
        <v>0</v>
      </c>
    </row>
    <row r="283" spans="1:4" x14ac:dyDescent="0.45">
      <c r="A283" t="s">
        <v>36</v>
      </c>
      <c r="B283">
        <v>2008</v>
      </c>
      <c r="C283" t="s">
        <v>75</v>
      </c>
      <c r="D283">
        <v>0.21</v>
      </c>
    </row>
    <row r="284" spans="1:4" x14ac:dyDescent="0.45">
      <c r="A284" t="s">
        <v>56</v>
      </c>
      <c r="B284">
        <v>2008</v>
      </c>
      <c r="C284" t="s">
        <v>75</v>
      </c>
      <c r="D284">
        <v>4.12</v>
      </c>
    </row>
    <row r="285" spans="1:4" x14ac:dyDescent="0.45">
      <c r="A285" t="s">
        <v>57</v>
      </c>
      <c r="B285">
        <v>2008</v>
      </c>
      <c r="C285" t="s">
        <v>75</v>
      </c>
    </row>
    <row r="286" spans="1:4" x14ac:dyDescent="0.45">
      <c r="A286" t="s">
        <v>38</v>
      </c>
      <c r="B286">
        <v>2008</v>
      </c>
      <c r="C286" t="s">
        <v>75</v>
      </c>
    </row>
    <row r="287" spans="1:4" x14ac:dyDescent="0.45">
      <c r="A287" t="s">
        <v>32</v>
      </c>
      <c r="B287">
        <v>2008</v>
      </c>
      <c r="C287" t="s">
        <v>75</v>
      </c>
    </row>
    <row r="288" spans="1:4" x14ac:dyDescent="0.45">
      <c r="A288" t="s">
        <v>58</v>
      </c>
      <c r="B288">
        <v>2008</v>
      </c>
      <c r="C288" t="s">
        <v>75</v>
      </c>
      <c r="D288">
        <v>0</v>
      </c>
    </row>
    <row r="289" spans="1:4" x14ac:dyDescent="0.45">
      <c r="A289" t="s">
        <v>91</v>
      </c>
      <c r="B289">
        <v>2008</v>
      </c>
      <c r="C289" t="s">
        <v>75</v>
      </c>
    </row>
    <row r="290" spans="1:4" x14ac:dyDescent="0.45">
      <c r="A290" t="s">
        <v>32</v>
      </c>
      <c r="B290">
        <v>2009</v>
      </c>
      <c r="C290" t="s">
        <v>75</v>
      </c>
    </row>
    <row r="291" spans="1:4" x14ac:dyDescent="0.45">
      <c r="A291" t="s">
        <v>34</v>
      </c>
      <c r="B291">
        <v>2009</v>
      </c>
      <c r="C291" t="s">
        <v>75</v>
      </c>
      <c r="D291">
        <v>0</v>
      </c>
    </row>
    <row r="292" spans="1:4" x14ac:dyDescent="0.45">
      <c r="A292" t="s">
        <v>36</v>
      </c>
      <c r="B292">
        <v>2009</v>
      </c>
      <c r="C292" t="s">
        <v>75</v>
      </c>
      <c r="D292">
        <v>0.21</v>
      </c>
    </row>
    <row r="293" spans="1:4" x14ac:dyDescent="0.45">
      <c r="A293" t="s">
        <v>56</v>
      </c>
      <c r="B293">
        <v>2009</v>
      </c>
      <c r="C293" t="s">
        <v>75</v>
      </c>
      <c r="D293">
        <v>4.8</v>
      </c>
    </row>
    <row r="294" spans="1:4" x14ac:dyDescent="0.45">
      <c r="A294" t="s">
        <v>57</v>
      </c>
      <c r="B294">
        <v>2009</v>
      </c>
      <c r="C294" t="s">
        <v>75</v>
      </c>
    </row>
    <row r="295" spans="1:4" x14ac:dyDescent="0.45">
      <c r="A295" t="s">
        <v>38</v>
      </c>
      <c r="B295">
        <v>2009</v>
      </c>
      <c r="C295" t="s">
        <v>75</v>
      </c>
    </row>
    <row r="296" spans="1:4" x14ac:dyDescent="0.45">
      <c r="A296" t="s">
        <v>32</v>
      </c>
      <c r="B296">
        <v>2009</v>
      </c>
      <c r="C296" t="s">
        <v>75</v>
      </c>
    </row>
    <row r="297" spans="1:4" x14ac:dyDescent="0.45">
      <c r="A297" t="s">
        <v>58</v>
      </c>
      <c r="B297">
        <v>2009</v>
      </c>
      <c r="C297" t="s">
        <v>75</v>
      </c>
      <c r="D297">
        <v>0</v>
      </c>
    </row>
    <row r="298" spans="1:4" x14ac:dyDescent="0.45">
      <c r="A298" t="s">
        <v>91</v>
      </c>
      <c r="B298">
        <v>2009</v>
      </c>
      <c r="C298" t="s">
        <v>75</v>
      </c>
    </row>
    <row r="299" spans="1:4" x14ac:dyDescent="0.45">
      <c r="A299" t="s">
        <v>32</v>
      </c>
      <c r="B299">
        <v>2010</v>
      </c>
      <c r="C299" t="s">
        <v>75</v>
      </c>
    </row>
    <row r="300" spans="1:4" x14ac:dyDescent="0.45">
      <c r="A300" t="s">
        <v>34</v>
      </c>
      <c r="B300">
        <v>2010</v>
      </c>
      <c r="C300" t="s">
        <v>75</v>
      </c>
      <c r="D300">
        <v>0</v>
      </c>
    </row>
    <row r="301" spans="1:4" x14ac:dyDescent="0.45">
      <c r="A301" t="s">
        <v>36</v>
      </c>
      <c r="B301">
        <v>2010</v>
      </c>
      <c r="C301" t="s">
        <v>75</v>
      </c>
      <c r="D301">
        <v>0.21</v>
      </c>
    </row>
    <row r="302" spans="1:4" x14ac:dyDescent="0.45">
      <c r="A302" t="s">
        <v>56</v>
      </c>
      <c r="B302">
        <v>2010</v>
      </c>
      <c r="C302" t="s">
        <v>75</v>
      </c>
      <c r="D302">
        <v>4.8</v>
      </c>
    </row>
    <row r="303" spans="1:4" x14ac:dyDescent="0.45">
      <c r="A303" t="s">
        <v>57</v>
      </c>
      <c r="B303">
        <v>2010</v>
      </c>
      <c r="C303" t="s">
        <v>75</v>
      </c>
    </row>
    <row r="304" spans="1:4" x14ac:dyDescent="0.45">
      <c r="A304" t="s">
        <v>38</v>
      </c>
      <c r="B304">
        <v>2010</v>
      </c>
      <c r="C304" t="s">
        <v>75</v>
      </c>
    </row>
    <row r="305" spans="1:4" x14ac:dyDescent="0.45">
      <c r="A305" t="s">
        <v>32</v>
      </c>
      <c r="B305">
        <v>2010</v>
      </c>
      <c r="C305" t="s">
        <v>75</v>
      </c>
    </row>
    <row r="306" spans="1:4" x14ac:dyDescent="0.45">
      <c r="A306" t="s">
        <v>58</v>
      </c>
      <c r="B306">
        <v>2010</v>
      </c>
      <c r="C306" t="s">
        <v>75</v>
      </c>
      <c r="D306">
        <v>0</v>
      </c>
    </row>
    <row r="307" spans="1:4" x14ac:dyDescent="0.45">
      <c r="A307" t="s">
        <v>91</v>
      </c>
      <c r="B307">
        <v>2010</v>
      </c>
      <c r="C307" t="s">
        <v>75</v>
      </c>
    </row>
    <row r="308" spans="1:4" x14ac:dyDescent="0.45">
      <c r="A308" t="s">
        <v>32</v>
      </c>
      <c r="B308">
        <v>2011</v>
      </c>
      <c r="C308" t="s">
        <v>75</v>
      </c>
    </row>
    <row r="309" spans="1:4" x14ac:dyDescent="0.45">
      <c r="A309" t="s">
        <v>34</v>
      </c>
      <c r="B309">
        <v>2011</v>
      </c>
      <c r="C309" t="s">
        <v>75</v>
      </c>
      <c r="D309">
        <v>0</v>
      </c>
    </row>
    <row r="310" spans="1:4" x14ac:dyDescent="0.45">
      <c r="A310" t="s">
        <v>36</v>
      </c>
      <c r="B310">
        <v>2011</v>
      </c>
      <c r="C310" t="s">
        <v>75</v>
      </c>
      <c r="D310">
        <v>0.21</v>
      </c>
    </row>
    <row r="311" spans="1:4" x14ac:dyDescent="0.45">
      <c r="A311" t="s">
        <v>56</v>
      </c>
      <c r="B311">
        <v>2011</v>
      </c>
      <c r="C311" t="s">
        <v>75</v>
      </c>
      <c r="D311">
        <v>4.8099999999999996</v>
      </c>
    </row>
    <row r="312" spans="1:4" x14ac:dyDescent="0.45">
      <c r="A312" t="s">
        <v>57</v>
      </c>
      <c r="B312">
        <v>2011</v>
      </c>
      <c r="C312" t="s">
        <v>75</v>
      </c>
    </row>
    <row r="313" spans="1:4" x14ac:dyDescent="0.45">
      <c r="A313" t="s">
        <v>38</v>
      </c>
      <c r="B313">
        <v>2011</v>
      </c>
      <c r="C313" t="s">
        <v>75</v>
      </c>
    </row>
    <row r="314" spans="1:4" x14ac:dyDescent="0.45">
      <c r="A314" t="s">
        <v>32</v>
      </c>
      <c r="B314">
        <v>2011</v>
      </c>
      <c r="C314" t="s">
        <v>75</v>
      </c>
    </row>
    <row r="315" spans="1:4" x14ac:dyDescent="0.45">
      <c r="A315" t="s">
        <v>58</v>
      </c>
      <c r="B315">
        <v>2011</v>
      </c>
      <c r="C315" t="s">
        <v>75</v>
      </c>
      <c r="D315">
        <v>0</v>
      </c>
    </row>
    <row r="316" spans="1:4" x14ac:dyDescent="0.45">
      <c r="A316" t="s">
        <v>91</v>
      </c>
      <c r="B316">
        <v>2011</v>
      </c>
      <c r="C316" t="s">
        <v>75</v>
      </c>
    </row>
    <row r="317" spans="1:4" x14ac:dyDescent="0.45">
      <c r="A317" t="s">
        <v>32</v>
      </c>
      <c r="B317">
        <v>2012</v>
      </c>
      <c r="C317" t="s">
        <v>75</v>
      </c>
    </row>
    <row r="318" spans="1:4" x14ac:dyDescent="0.45">
      <c r="A318" t="s">
        <v>34</v>
      </c>
      <c r="B318">
        <v>2012</v>
      </c>
      <c r="C318" t="s">
        <v>75</v>
      </c>
      <c r="D318">
        <v>0</v>
      </c>
    </row>
    <row r="319" spans="1:4" x14ac:dyDescent="0.45">
      <c r="A319" t="s">
        <v>36</v>
      </c>
      <c r="B319">
        <v>2012</v>
      </c>
      <c r="C319" t="s">
        <v>75</v>
      </c>
      <c r="D319">
        <v>0.21</v>
      </c>
    </row>
    <row r="320" spans="1:4" x14ac:dyDescent="0.45">
      <c r="A320" t="s">
        <v>56</v>
      </c>
      <c r="B320">
        <v>2012</v>
      </c>
      <c r="C320" t="s">
        <v>75</v>
      </c>
      <c r="D320">
        <v>4.87</v>
      </c>
    </row>
    <row r="321" spans="1:4" x14ac:dyDescent="0.45">
      <c r="A321" t="s">
        <v>57</v>
      </c>
      <c r="B321">
        <v>2012</v>
      </c>
      <c r="C321" t="s">
        <v>75</v>
      </c>
    </row>
    <row r="322" spans="1:4" x14ac:dyDescent="0.45">
      <c r="A322" t="s">
        <v>38</v>
      </c>
      <c r="B322">
        <v>2012</v>
      </c>
      <c r="C322" t="s">
        <v>75</v>
      </c>
    </row>
    <row r="323" spans="1:4" x14ac:dyDescent="0.45">
      <c r="A323" t="s">
        <v>32</v>
      </c>
      <c r="B323">
        <v>2012</v>
      </c>
      <c r="C323" t="s">
        <v>75</v>
      </c>
    </row>
    <row r="324" spans="1:4" x14ac:dyDescent="0.45">
      <c r="A324" t="s">
        <v>58</v>
      </c>
      <c r="B324">
        <v>2012</v>
      </c>
      <c r="C324" t="s">
        <v>75</v>
      </c>
      <c r="D324">
        <v>0</v>
      </c>
    </row>
    <row r="325" spans="1:4" x14ac:dyDescent="0.45">
      <c r="A325" t="s">
        <v>91</v>
      </c>
      <c r="B325">
        <v>2012</v>
      </c>
      <c r="C325" t="s">
        <v>75</v>
      </c>
    </row>
    <row r="326" spans="1:4" x14ac:dyDescent="0.45">
      <c r="A326" t="s">
        <v>32</v>
      </c>
      <c r="B326">
        <v>2013</v>
      </c>
      <c r="C326" t="s">
        <v>75</v>
      </c>
    </row>
    <row r="327" spans="1:4" x14ac:dyDescent="0.45">
      <c r="A327" t="s">
        <v>34</v>
      </c>
      <c r="B327">
        <v>2013</v>
      </c>
      <c r="C327" t="s">
        <v>75</v>
      </c>
      <c r="D327">
        <v>0</v>
      </c>
    </row>
    <row r="328" spans="1:4" x14ac:dyDescent="0.45">
      <c r="A328" t="s">
        <v>36</v>
      </c>
      <c r="B328">
        <v>2013</v>
      </c>
      <c r="C328" t="s">
        <v>75</v>
      </c>
      <c r="D328">
        <v>0.21</v>
      </c>
    </row>
    <row r="329" spans="1:4" x14ac:dyDescent="0.45">
      <c r="A329" t="s">
        <v>56</v>
      </c>
      <c r="B329">
        <v>2013</v>
      </c>
      <c r="C329" t="s">
        <v>75</v>
      </c>
      <c r="D329">
        <v>4.87</v>
      </c>
    </row>
    <row r="330" spans="1:4" x14ac:dyDescent="0.45">
      <c r="A330" t="s">
        <v>57</v>
      </c>
      <c r="B330">
        <v>2013</v>
      </c>
      <c r="C330" t="s">
        <v>75</v>
      </c>
    </row>
    <row r="331" spans="1:4" x14ac:dyDescent="0.45">
      <c r="A331" t="s">
        <v>38</v>
      </c>
      <c r="B331">
        <v>2013</v>
      </c>
      <c r="C331" t="s">
        <v>75</v>
      </c>
    </row>
    <row r="332" spans="1:4" x14ac:dyDescent="0.45">
      <c r="A332" t="s">
        <v>32</v>
      </c>
      <c r="B332">
        <v>2013</v>
      </c>
      <c r="C332" t="s">
        <v>75</v>
      </c>
    </row>
    <row r="333" spans="1:4" x14ac:dyDescent="0.45">
      <c r="A333" t="s">
        <v>58</v>
      </c>
      <c r="B333">
        <v>2013</v>
      </c>
      <c r="C333" t="s">
        <v>75</v>
      </c>
      <c r="D333">
        <v>0</v>
      </c>
    </row>
    <row r="334" spans="1:4" x14ac:dyDescent="0.45">
      <c r="A334" t="s">
        <v>91</v>
      </c>
      <c r="B334">
        <v>2013</v>
      </c>
      <c r="C334" t="s">
        <v>75</v>
      </c>
    </row>
    <row r="335" spans="1:4" x14ac:dyDescent="0.45">
      <c r="A335" t="s">
        <v>32</v>
      </c>
      <c r="B335">
        <v>2014</v>
      </c>
      <c r="C335" t="s">
        <v>75</v>
      </c>
    </row>
    <row r="336" spans="1:4" x14ac:dyDescent="0.45">
      <c r="A336" t="s">
        <v>34</v>
      </c>
      <c r="B336">
        <v>2014</v>
      </c>
      <c r="C336" t="s">
        <v>75</v>
      </c>
      <c r="D336">
        <v>0.1</v>
      </c>
    </row>
    <row r="337" spans="1:4" x14ac:dyDescent="0.45">
      <c r="A337" t="s">
        <v>36</v>
      </c>
      <c r="B337">
        <v>2014</v>
      </c>
      <c r="C337" t="s">
        <v>75</v>
      </c>
      <c r="D337">
        <v>0.21</v>
      </c>
    </row>
    <row r="338" spans="1:4" x14ac:dyDescent="0.45">
      <c r="A338" t="s">
        <v>56</v>
      </c>
      <c r="B338">
        <v>2014</v>
      </c>
      <c r="C338" t="s">
        <v>75</v>
      </c>
      <c r="D338">
        <v>4.9800000000000004</v>
      </c>
    </row>
    <row r="339" spans="1:4" x14ac:dyDescent="0.45">
      <c r="A339" t="s">
        <v>57</v>
      </c>
      <c r="B339">
        <v>2014</v>
      </c>
      <c r="C339" t="s">
        <v>75</v>
      </c>
    </row>
    <row r="340" spans="1:4" x14ac:dyDescent="0.45">
      <c r="A340" t="s">
        <v>38</v>
      </c>
      <c r="B340">
        <v>2014</v>
      </c>
      <c r="C340" t="s">
        <v>75</v>
      </c>
    </row>
    <row r="341" spans="1:4" x14ac:dyDescent="0.45">
      <c r="A341" t="s">
        <v>32</v>
      </c>
      <c r="B341">
        <v>2014</v>
      </c>
      <c r="C341" t="s">
        <v>75</v>
      </c>
    </row>
    <row r="342" spans="1:4" x14ac:dyDescent="0.45">
      <c r="A342" t="s">
        <v>58</v>
      </c>
      <c r="B342">
        <v>2014</v>
      </c>
      <c r="C342" t="s">
        <v>75</v>
      </c>
      <c r="D342">
        <v>0</v>
      </c>
    </row>
    <row r="343" spans="1:4" x14ac:dyDescent="0.45">
      <c r="A343" t="s">
        <v>91</v>
      </c>
      <c r="B343">
        <v>2014</v>
      </c>
      <c r="C343" t="s">
        <v>75</v>
      </c>
    </row>
    <row r="344" spans="1:4" x14ac:dyDescent="0.45">
      <c r="A344" t="s">
        <v>32</v>
      </c>
      <c r="B344">
        <v>2015</v>
      </c>
      <c r="C344" t="s">
        <v>75</v>
      </c>
    </row>
    <row r="345" spans="1:4" x14ac:dyDescent="0.45">
      <c r="A345" t="s">
        <v>34</v>
      </c>
      <c r="B345">
        <v>2015</v>
      </c>
      <c r="C345" t="s">
        <v>75</v>
      </c>
      <c r="D345">
        <v>0.1</v>
      </c>
    </row>
    <row r="346" spans="1:4" x14ac:dyDescent="0.45">
      <c r="A346" t="s">
        <v>36</v>
      </c>
      <c r="B346">
        <v>2015</v>
      </c>
      <c r="C346" t="s">
        <v>75</v>
      </c>
      <c r="D346">
        <v>0.21</v>
      </c>
    </row>
    <row r="347" spans="1:4" x14ac:dyDescent="0.45">
      <c r="A347" t="s">
        <v>56</v>
      </c>
      <c r="B347">
        <v>2015</v>
      </c>
      <c r="C347" t="s">
        <v>75</v>
      </c>
      <c r="D347">
        <v>4.9800000000000004</v>
      </c>
    </row>
    <row r="348" spans="1:4" x14ac:dyDescent="0.45">
      <c r="A348" t="s">
        <v>57</v>
      </c>
      <c r="B348">
        <v>2015</v>
      </c>
      <c r="C348" t="s">
        <v>75</v>
      </c>
    </row>
    <row r="349" spans="1:4" x14ac:dyDescent="0.45">
      <c r="A349" t="s">
        <v>38</v>
      </c>
      <c r="B349">
        <v>2015</v>
      </c>
      <c r="C349" t="s">
        <v>75</v>
      </c>
    </row>
    <row r="350" spans="1:4" x14ac:dyDescent="0.45">
      <c r="A350" t="s">
        <v>32</v>
      </c>
      <c r="B350">
        <v>2015</v>
      </c>
      <c r="C350" t="s">
        <v>75</v>
      </c>
    </row>
    <row r="351" spans="1:4" x14ac:dyDescent="0.45">
      <c r="A351" t="s">
        <v>58</v>
      </c>
      <c r="B351">
        <v>2015</v>
      </c>
      <c r="C351" t="s">
        <v>75</v>
      </c>
      <c r="D351">
        <v>0</v>
      </c>
    </row>
    <row r="352" spans="1:4" x14ac:dyDescent="0.45">
      <c r="A352" t="s">
        <v>91</v>
      </c>
      <c r="B352">
        <v>2015</v>
      </c>
      <c r="C352" t="s">
        <v>75</v>
      </c>
    </row>
    <row r="353" spans="1:4" x14ac:dyDescent="0.45">
      <c r="A353" t="s">
        <v>32</v>
      </c>
      <c r="B353">
        <v>2016</v>
      </c>
      <c r="C353" t="s">
        <v>75</v>
      </c>
    </row>
    <row r="354" spans="1:4" x14ac:dyDescent="0.45">
      <c r="A354" t="s">
        <v>34</v>
      </c>
      <c r="B354">
        <v>2016</v>
      </c>
      <c r="C354" t="s">
        <v>75</v>
      </c>
      <c r="D354">
        <v>0.4</v>
      </c>
    </row>
    <row r="355" spans="1:4" x14ac:dyDescent="0.45">
      <c r="A355" t="s">
        <v>36</v>
      </c>
      <c r="B355">
        <v>2016</v>
      </c>
      <c r="C355" t="s">
        <v>75</v>
      </c>
      <c r="D355">
        <v>0.21</v>
      </c>
    </row>
    <row r="356" spans="1:4" x14ac:dyDescent="0.45">
      <c r="A356" t="s">
        <v>56</v>
      </c>
      <c r="B356">
        <v>2016</v>
      </c>
      <c r="C356" t="s">
        <v>75</v>
      </c>
      <c r="D356">
        <v>4.9800000000000004</v>
      </c>
    </row>
    <row r="357" spans="1:4" x14ac:dyDescent="0.45">
      <c r="A357" t="s">
        <v>57</v>
      </c>
      <c r="B357">
        <v>2016</v>
      </c>
      <c r="C357" t="s">
        <v>75</v>
      </c>
    </row>
    <row r="358" spans="1:4" x14ac:dyDescent="0.45">
      <c r="A358" t="s">
        <v>38</v>
      </c>
      <c r="B358">
        <v>2016</v>
      </c>
      <c r="C358" t="s">
        <v>75</v>
      </c>
    </row>
    <row r="359" spans="1:4" x14ac:dyDescent="0.45">
      <c r="A359" t="s">
        <v>32</v>
      </c>
      <c r="B359">
        <v>2016</v>
      </c>
      <c r="C359" t="s">
        <v>75</v>
      </c>
    </row>
    <row r="360" spans="1:4" x14ac:dyDescent="0.45">
      <c r="A360" t="s">
        <v>58</v>
      </c>
      <c r="B360">
        <v>2016</v>
      </c>
      <c r="C360" t="s">
        <v>75</v>
      </c>
      <c r="D360">
        <v>0</v>
      </c>
    </row>
    <row r="361" spans="1:4" x14ac:dyDescent="0.45">
      <c r="A361" t="s">
        <v>91</v>
      </c>
      <c r="B361">
        <v>2016</v>
      </c>
      <c r="C361" t="s">
        <v>75</v>
      </c>
    </row>
    <row r="362" spans="1:4" x14ac:dyDescent="0.45">
      <c r="A362" t="s">
        <v>32</v>
      </c>
      <c r="B362">
        <v>2017</v>
      </c>
      <c r="C362" t="s">
        <v>75</v>
      </c>
    </row>
    <row r="363" spans="1:4" x14ac:dyDescent="0.45">
      <c r="A363" t="s">
        <v>34</v>
      </c>
      <c r="B363">
        <v>2017</v>
      </c>
      <c r="C363" t="s">
        <v>75</v>
      </c>
      <c r="D363">
        <v>0.4</v>
      </c>
    </row>
    <row r="364" spans="1:4" x14ac:dyDescent="0.45">
      <c r="A364" t="s">
        <v>36</v>
      </c>
      <c r="B364">
        <v>2017</v>
      </c>
      <c r="C364" t="s">
        <v>75</v>
      </c>
      <c r="D364">
        <v>0.21</v>
      </c>
    </row>
    <row r="365" spans="1:4" x14ac:dyDescent="0.45">
      <c r="A365" t="s">
        <v>56</v>
      </c>
      <c r="B365">
        <v>2017</v>
      </c>
      <c r="C365" t="s">
        <v>75</v>
      </c>
      <c r="D365">
        <v>4.9800000000000004</v>
      </c>
    </row>
    <row r="366" spans="1:4" x14ac:dyDescent="0.45">
      <c r="A366" t="s">
        <v>57</v>
      </c>
      <c r="B366">
        <v>2017</v>
      </c>
      <c r="C366" t="s">
        <v>75</v>
      </c>
    </row>
    <row r="367" spans="1:4" x14ac:dyDescent="0.45">
      <c r="A367" t="s">
        <v>38</v>
      </c>
      <c r="B367">
        <v>2017</v>
      </c>
      <c r="C367" t="s">
        <v>75</v>
      </c>
    </row>
    <row r="368" spans="1:4" x14ac:dyDescent="0.45">
      <c r="A368" t="s">
        <v>32</v>
      </c>
      <c r="B368">
        <v>2017</v>
      </c>
      <c r="C368" t="s">
        <v>75</v>
      </c>
    </row>
    <row r="369" spans="1:4" x14ac:dyDescent="0.45">
      <c r="A369" t="s">
        <v>58</v>
      </c>
      <c r="B369">
        <v>2017</v>
      </c>
      <c r="C369" t="s">
        <v>75</v>
      </c>
      <c r="D369">
        <v>0</v>
      </c>
    </row>
    <row r="370" spans="1:4" x14ac:dyDescent="0.45">
      <c r="A370" t="s">
        <v>91</v>
      </c>
      <c r="B370">
        <v>2017</v>
      </c>
      <c r="C370" t="s">
        <v>75</v>
      </c>
    </row>
    <row r="371" spans="1:4" x14ac:dyDescent="0.45">
      <c r="A371" t="s">
        <v>32</v>
      </c>
      <c r="B371">
        <v>2018</v>
      </c>
      <c r="C371" t="s">
        <v>75</v>
      </c>
    </row>
    <row r="372" spans="1:4" x14ac:dyDescent="0.45">
      <c r="A372" t="s">
        <v>34</v>
      </c>
      <c r="B372">
        <v>2018</v>
      </c>
      <c r="C372" t="s">
        <v>75</v>
      </c>
      <c r="D372">
        <v>0.4</v>
      </c>
    </row>
    <row r="373" spans="1:4" x14ac:dyDescent="0.45">
      <c r="A373" t="s">
        <v>36</v>
      </c>
      <c r="B373">
        <v>2018</v>
      </c>
      <c r="C373" t="s">
        <v>75</v>
      </c>
      <c r="D373">
        <v>0.21</v>
      </c>
    </row>
    <row r="374" spans="1:4" x14ac:dyDescent="0.45">
      <c r="A374" t="s">
        <v>56</v>
      </c>
      <c r="B374">
        <v>2018</v>
      </c>
      <c r="C374" t="s">
        <v>75</v>
      </c>
      <c r="D374">
        <v>4.9800000000000004</v>
      </c>
    </row>
    <row r="375" spans="1:4" x14ac:dyDescent="0.45">
      <c r="A375" t="s">
        <v>57</v>
      </c>
      <c r="B375">
        <v>2018</v>
      </c>
      <c r="C375" t="s">
        <v>75</v>
      </c>
    </row>
    <row r="376" spans="1:4" x14ac:dyDescent="0.45">
      <c r="A376" t="s">
        <v>38</v>
      </c>
      <c r="B376">
        <v>2018</v>
      </c>
      <c r="C376" t="s">
        <v>75</v>
      </c>
    </row>
    <row r="377" spans="1:4" x14ac:dyDescent="0.45">
      <c r="A377" t="s">
        <v>32</v>
      </c>
      <c r="B377">
        <v>2018</v>
      </c>
      <c r="C377" t="s">
        <v>75</v>
      </c>
    </row>
    <row r="378" spans="1:4" x14ac:dyDescent="0.45">
      <c r="A378" t="s">
        <v>58</v>
      </c>
      <c r="B378">
        <v>2018</v>
      </c>
      <c r="C378" t="s">
        <v>75</v>
      </c>
      <c r="D378">
        <v>0</v>
      </c>
    </row>
    <row r="379" spans="1:4" x14ac:dyDescent="0.45">
      <c r="A379" t="s">
        <v>91</v>
      </c>
      <c r="B379">
        <v>2018</v>
      </c>
      <c r="C379" t="s">
        <v>75</v>
      </c>
    </row>
    <row r="380" spans="1:4" x14ac:dyDescent="0.45">
      <c r="A380" t="s">
        <v>32</v>
      </c>
      <c r="B380">
        <v>2019</v>
      </c>
      <c r="C380" t="s">
        <v>75</v>
      </c>
    </row>
    <row r="381" spans="1:4" x14ac:dyDescent="0.45">
      <c r="A381" t="s">
        <v>34</v>
      </c>
      <c r="B381">
        <v>2019</v>
      </c>
      <c r="C381" t="s">
        <v>75</v>
      </c>
      <c r="D381">
        <v>0.4</v>
      </c>
    </row>
    <row r="382" spans="1:4" x14ac:dyDescent="0.45">
      <c r="A382" t="s">
        <v>36</v>
      </c>
      <c r="B382">
        <v>2019</v>
      </c>
      <c r="C382" t="s">
        <v>75</v>
      </c>
      <c r="D382">
        <v>0.21</v>
      </c>
    </row>
    <row r="383" spans="1:4" x14ac:dyDescent="0.45">
      <c r="A383" t="s">
        <v>56</v>
      </c>
      <c r="B383">
        <v>2019</v>
      </c>
      <c r="C383" t="s">
        <v>75</v>
      </c>
      <c r="D383">
        <v>5.74</v>
      </c>
    </row>
    <row r="384" spans="1:4" x14ac:dyDescent="0.45">
      <c r="A384" t="s">
        <v>57</v>
      </c>
      <c r="B384">
        <v>2019</v>
      </c>
      <c r="C384" t="s">
        <v>75</v>
      </c>
    </row>
    <row r="385" spans="1:4" x14ac:dyDescent="0.45">
      <c r="A385" t="s">
        <v>38</v>
      </c>
      <c r="B385">
        <v>2019</v>
      </c>
      <c r="C385" t="s">
        <v>75</v>
      </c>
    </row>
    <row r="386" spans="1:4" x14ac:dyDescent="0.45">
      <c r="A386" t="s">
        <v>32</v>
      </c>
      <c r="B386">
        <v>2019</v>
      </c>
      <c r="C386" t="s">
        <v>75</v>
      </c>
    </row>
    <row r="387" spans="1:4" x14ac:dyDescent="0.45">
      <c r="A387" t="s">
        <v>58</v>
      </c>
      <c r="B387">
        <v>2019</v>
      </c>
      <c r="C387" t="s">
        <v>75</v>
      </c>
      <c r="D387">
        <v>0</v>
      </c>
    </row>
    <row r="388" spans="1:4" x14ac:dyDescent="0.45">
      <c r="A388" t="s">
        <v>91</v>
      </c>
      <c r="B388">
        <v>2019</v>
      </c>
      <c r="C388" t="s">
        <v>75</v>
      </c>
    </row>
    <row r="389" spans="1:4" x14ac:dyDescent="0.45">
      <c r="A389" t="s">
        <v>32</v>
      </c>
      <c r="B389">
        <v>2020</v>
      </c>
      <c r="C389" t="s">
        <v>75</v>
      </c>
    </row>
    <row r="390" spans="1:4" x14ac:dyDescent="0.45">
      <c r="A390" t="s">
        <v>34</v>
      </c>
      <c r="B390">
        <v>2020</v>
      </c>
      <c r="C390" t="s">
        <v>75</v>
      </c>
      <c r="D390">
        <v>0.4</v>
      </c>
    </row>
    <row r="391" spans="1:4" x14ac:dyDescent="0.45">
      <c r="A391" t="s">
        <v>36</v>
      </c>
      <c r="B391">
        <v>2020</v>
      </c>
      <c r="C391" t="s">
        <v>75</v>
      </c>
      <c r="D391">
        <v>0.21</v>
      </c>
    </row>
    <row r="392" spans="1:4" x14ac:dyDescent="0.45">
      <c r="A392" t="s">
        <v>56</v>
      </c>
      <c r="B392">
        <v>2020</v>
      </c>
      <c r="C392" t="s">
        <v>75</v>
      </c>
      <c r="D392">
        <v>5.74</v>
      </c>
    </row>
    <row r="393" spans="1:4" x14ac:dyDescent="0.45">
      <c r="A393" t="s">
        <v>57</v>
      </c>
      <c r="B393">
        <v>2020</v>
      </c>
      <c r="C393" t="s">
        <v>75</v>
      </c>
    </row>
    <row r="394" spans="1:4" x14ac:dyDescent="0.45">
      <c r="A394" t="s">
        <v>38</v>
      </c>
      <c r="B394">
        <v>2020</v>
      </c>
      <c r="C394" t="s">
        <v>75</v>
      </c>
    </row>
    <row r="395" spans="1:4" x14ac:dyDescent="0.45">
      <c r="A395" t="s">
        <v>32</v>
      </c>
      <c r="B395">
        <v>2020</v>
      </c>
      <c r="C395" t="s">
        <v>75</v>
      </c>
    </row>
    <row r="396" spans="1:4" x14ac:dyDescent="0.45">
      <c r="A396" t="s">
        <v>58</v>
      </c>
      <c r="B396">
        <v>2020</v>
      </c>
      <c r="C396" t="s">
        <v>75</v>
      </c>
      <c r="D396">
        <v>0</v>
      </c>
    </row>
    <row r="397" spans="1:4" x14ac:dyDescent="0.45">
      <c r="A397" t="s">
        <v>91</v>
      </c>
      <c r="B397">
        <v>2020</v>
      </c>
      <c r="C397" t="s">
        <v>75</v>
      </c>
    </row>
    <row r="398" spans="1:4" x14ac:dyDescent="0.45">
      <c r="A398" t="s">
        <v>32</v>
      </c>
      <c r="B398">
        <v>2021</v>
      </c>
      <c r="C398" t="s">
        <v>75</v>
      </c>
    </row>
    <row r="399" spans="1:4" x14ac:dyDescent="0.45">
      <c r="A399" t="s">
        <v>34</v>
      </c>
      <c r="B399">
        <v>2021</v>
      </c>
      <c r="C399" t="s">
        <v>75</v>
      </c>
      <c r="D399">
        <v>0.4</v>
      </c>
    </row>
    <row r="400" spans="1:4" x14ac:dyDescent="0.45">
      <c r="A400" t="s">
        <v>36</v>
      </c>
      <c r="B400">
        <v>2021</v>
      </c>
      <c r="C400" t="s">
        <v>75</v>
      </c>
      <c r="D400">
        <v>0.21</v>
      </c>
    </row>
    <row r="401" spans="1:4" x14ac:dyDescent="0.45">
      <c r="A401" t="s">
        <v>56</v>
      </c>
      <c r="B401">
        <v>2021</v>
      </c>
      <c r="C401" t="s">
        <v>75</v>
      </c>
      <c r="D401">
        <v>5.74</v>
      </c>
    </row>
    <row r="402" spans="1:4" x14ac:dyDescent="0.45">
      <c r="A402" t="s">
        <v>57</v>
      </c>
      <c r="B402">
        <v>2021</v>
      </c>
      <c r="C402" t="s">
        <v>75</v>
      </c>
    </row>
    <row r="403" spans="1:4" x14ac:dyDescent="0.45">
      <c r="A403" t="s">
        <v>38</v>
      </c>
      <c r="B403">
        <v>2021</v>
      </c>
      <c r="C403" t="s">
        <v>75</v>
      </c>
    </row>
    <row r="404" spans="1:4" x14ac:dyDescent="0.45">
      <c r="A404" t="s">
        <v>32</v>
      </c>
      <c r="B404">
        <v>2021</v>
      </c>
      <c r="C404" t="s">
        <v>75</v>
      </c>
    </row>
    <row r="405" spans="1:4" x14ac:dyDescent="0.45">
      <c r="A405" t="s">
        <v>58</v>
      </c>
      <c r="B405">
        <v>2021</v>
      </c>
      <c r="C405" t="s">
        <v>75</v>
      </c>
      <c r="D405">
        <v>0</v>
      </c>
    </row>
    <row r="406" spans="1:4" x14ac:dyDescent="0.45">
      <c r="A406" t="s">
        <v>91</v>
      </c>
      <c r="B406">
        <v>2021</v>
      </c>
      <c r="C406" t="s">
        <v>75</v>
      </c>
    </row>
    <row r="407" spans="1:4" x14ac:dyDescent="0.45">
      <c r="A407" t="s">
        <v>32</v>
      </c>
      <c r="B407">
        <v>2022</v>
      </c>
      <c r="C407" t="s">
        <v>75</v>
      </c>
    </row>
    <row r="408" spans="1:4" x14ac:dyDescent="0.45">
      <c r="A408" t="s">
        <v>34</v>
      </c>
      <c r="B408">
        <v>2022</v>
      </c>
      <c r="C408" t="s">
        <v>75</v>
      </c>
      <c r="D408">
        <v>0.4</v>
      </c>
    </row>
    <row r="409" spans="1:4" x14ac:dyDescent="0.45">
      <c r="A409" t="s">
        <v>36</v>
      </c>
      <c r="B409">
        <v>2022</v>
      </c>
      <c r="C409" t="s">
        <v>75</v>
      </c>
      <c r="D409">
        <v>0.21</v>
      </c>
    </row>
    <row r="410" spans="1:4" x14ac:dyDescent="0.45">
      <c r="A410" t="s">
        <v>56</v>
      </c>
      <c r="B410">
        <v>2022</v>
      </c>
      <c r="C410" t="s">
        <v>75</v>
      </c>
      <c r="D410">
        <v>5.76</v>
      </c>
    </row>
    <row r="411" spans="1:4" x14ac:dyDescent="0.45">
      <c r="A411" t="s">
        <v>57</v>
      </c>
      <c r="B411">
        <v>2022</v>
      </c>
      <c r="C411" t="s">
        <v>75</v>
      </c>
    </row>
    <row r="412" spans="1:4" x14ac:dyDescent="0.45">
      <c r="A412" t="s">
        <v>38</v>
      </c>
      <c r="B412">
        <v>2022</v>
      </c>
      <c r="C412" t="s">
        <v>75</v>
      </c>
    </row>
    <row r="413" spans="1:4" x14ac:dyDescent="0.45">
      <c r="A413" t="s">
        <v>32</v>
      </c>
      <c r="B413">
        <v>2022</v>
      </c>
      <c r="C413" t="s">
        <v>75</v>
      </c>
    </row>
    <row r="414" spans="1:4" x14ac:dyDescent="0.45">
      <c r="A414" t="s">
        <v>58</v>
      </c>
      <c r="B414">
        <v>2022</v>
      </c>
      <c r="C414" t="s">
        <v>75</v>
      </c>
      <c r="D414">
        <v>0</v>
      </c>
    </row>
    <row r="415" spans="1:4" x14ac:dyDescent="0.45">
      <c r="A415" t="s">
        <v>91</v>
      </c>
      <c r="B415">
        <v>2022</v>
      </c>
      <c r="C415" t="s">
        <v>75</v>
      </c>
    </row>
    <row r="416" spans="1:4" x14ac:dyDescent="0.45">
      <c r="A416" t="s">
        <v>32</v>
      </c>
      <c r="B416">
        <v>2000</v>
      </c>
      <c r="C416" t="s">
        <v>76</v>
      </c>
      <c r="D416">
        <v>0</v>
      </c>
    </row>
    <row r="417" spans="1:4" x14ac:dyDescent="0.45">
      <c r="A417" t="s">
        <v>34</v>
      </c>
      <c r="B417">
        <v>2000</v>
      </c>
      <c r="C417" t="s">
        <v>76</v>
      </c>
      <c r="D417">
        <v>0</v>
      </c>
    </row>
    <row r="418" spans="1:4" x14ac:dyDescent="0.45">
      <c r="A418" t="s">
        <v>36</v>
      </c>
      <c r="B418">
        <v>2000</v>
      </c>
      <c r="C418" t="s">
        <v>76</v>
      </c>
      <c r="D418">
        <v>0.13</v>
      </c>
    </row>
    <row r="419" spans="1:4" x14ac:dyDescent="0.45">
      <c r="A419" t="s">
        <v>56</v>
      </c>
      <c r="B419">
        <v>2000</v>
      </c>
      <c r="C419" t="s">
        <v>76</v>
      </c>
      <c r="D419">
        <v>0.33</v>
      </c>
    </row>
    <row r="420" spans="1:4" x14ac:dyDescent="0.45">
      <c r="A420" t="s">
        <v>57</v>
      </c>
      <c r="B420">
        <v>2000</v>
      </c>
      <c r="C420" t="s">
        <v>76</v>
      </c>
      <c r="D420">
        <v>0</v>
      </c>
    </row>
    <row r="421" spans="1:4" x14ac:dyDescent="0.45">
      <c r="A421" t="s">
        <v>38</v>
      </c>
      <c r="B421">
        <v>2000</v>
      </c>
      <c r="C421" t="s">
        <v>76</v>
      </c>
      <c r="D421">
        <v>0</v>
      </c>
    </row>
    <row r="422" spans="1:4" x14ac:dyDescent="0.45">
      <c r="A422" t="s">
        <v>32</v>
      </c>
      <c r="B422">
        <v>2000</v>
      </c>
      <c r="C422" t="s">
        <v>76</v>
      </c>
      <c r="D422">
        <v>0</v>
      </c>
    </row>
    <row r="423" spans="1:4" x14ac:dyDescent="0.45">
      <c r="A423" t="s">
        <v>58</v>
      </c>
      <c r="B423">
        <v>2000</v>
      </c>
      <c r="C423" t="s">
        <v>76</v>
      </c>
      <c r="D423">
        <v>0</v>
      </c>
    </row>
    <row r="424" spans="1:4" x14ac:dyDescent="0.45">
      <c r="A424" t="s">
        <v>91</v>
      </c>
      <c r="B424">
        <v>2000</v>
      </c>
      <c r="C424" t="s">
        <v>76</v>
      </c>
      <c r="D424">
        <v>0</v>
      </c>
    </row>
    <row r="425" spans="1:4" x14ac:dyDescent="0.45">
      <c r="A425" t="s">
        <v>32</v>
      </c>
      <c r="B425">
        <v>2001</v>
      </c>
      <c r="C425" t="s">
        <v>76</v>
      </c>
      <c r="D425">
        <v>0</v>
      </c>
    </row>
    <row r="426" spans="1:4" x14ac:dyDescent="0.45">
      <c r="A426" t="s">
        <v>34</v>
      </c>
      <c r="B426">
        <v>2001</v>
      </c>
      <c r="C426" t="s">
        <v>76</v>
      </c>
      <c r="D426">
        <v>0</v>
      </c>
    </row>
    <row r="427" spans="1:4" x14ac:dyDescent="0.45">
      <c r="A427" t="s">
        <v>36</v>
      </c>
      <c r="B427">
        <v>2001</v>
      </c>
      <c r="C427" t="s">
        <v>76</v>
      </c>
      <c r="D427">
        <v>0.1</v>
      </c>
    </row>
    <row r="428" spans="1:4" x14ac:dyDescent="0.45">
      <c r="A428" t="s">
        <v>56</v>
      </c>
      <c r="B428">
        <v>2001</v>
      </c>
      <c r="C428" t="s">
        <v>76</v>
      </c>
      <c r="D428">
        <v>0.34</v>
      </c>
    </row>
    <row r="429" spans="1:4" x14ac:dyDescent="0.45">
      <c r="A429" t="s">
        <v>57</v>
      </c>
      <c r="B429">
        <v>2001</v>
      </c>
      <c r="C429" t="s">
        <v>76</v>
      </c>
      <c r="D429">
        <v>0</v>
      </c>
    </row>
    <row r="430" spans="1:4" x14ac:dyDescent="0.45">
      <c r="A430" t="s">
        <v>38</v>
      </c>
      <c r="B430">
        <v>2001</v>
      </c>
      <c r="C430" t="s">
        <v>76</v>
      </c>
      <c r="D430">
        <v>0</v>
      </c>
    </row>
    <row r="431" spans="1:4" x14ac:dyDescent="0.45">
      <c r="A431" t="s">
        <v>32</v>
      </c>
      <c r="B431">
        <v>2001</v>
      </c>
      <c r="C431" t="s">
        <v>76</v>
      </c>
      <c r="D431">
        <v>0</v>
      </c>
    </row>
    <row r="432" spans="1:4" x14ac:dyDescent="0.45">
      <c r="A432" t="s">
        <v>58</v>
      </c>
      <c r="B432">
        <v>2001</v>
      </c>
      <c r="C432" t="s">
        <v>76</v>
      </c>
      <c r="D432">
        <v>0</v>
      </c>
    </row>
    <row r="433" spans="1:4" x14ac:dyDescent="0.45">
      <c r="A433" t="s">
        <v>91</v>
      </c>
      <c r="B433">
        <v>2001</v>
      </c>
      <c r="C433" t="s">
        <v>76</v>
      </c>
      <c r="D433">
        <v>0</v>
      </c>
    </row>
    <row r="434" spans="1:4" x14ac:dyDescent="0.45">
      <c r="A434" t="s">
        <v>32</v>
      </c>
      <c r="B434">
        <v>2002</v>
      </c>
      <c r="C434" t="s">
        <v>76</v>
      </c>
      <c r="D434">
        <v>0</v>
      </c>
    </row>
    <row r="435" spans="1:4" x14ac:dyDescent="0.45">
      <c r="A435" t="s">
        <v>34</v>
      </c>
      <c r="B435">
        <v>2002</v>
      </c>
      <c r="C435" t="s">
        <v>76</v>
      </c>
      <c r="D435">
        <v>0</v>
      </c>
    </row>
    <row r="436" spans="1:4" x14ac:dyDescent="0.45">
      <c r="A436" t="s">
        <v>36</v>
      </c>
      <c r="B436">
        <v>2002</v>
      </c>
      <c r="C436" t="s">
        <v>76</v>
      </c>
      <c r="D436">
        <v>0.08</v>
      </c>
    </row>
    <row r="437" spans="1:4" x14ac:dyDescent="0.45">
      <c r="A437" t="s">
        <v>56</v>
      </c>
      <c r="B437">
        <v>2002</v>
      </c>
      <c r="C437" t="s">
        <v>76</v>
      </c>
      <c r="D437">
        <v>0.36</v>
      </c>
    </row>
    <row r="438" spans="1:4" x14ac:dyDescent="0.45">
      <c r="A438" t="s">
        <v>57</v>
      </c>
      <c r="B438">
        <v>2002</v>
      </c>
      <c r="C438" t="s">
        <v>76</v>
      </c>
      <c r="D438">
        <v>0</v>
      </c>
    </row>
    <row r="439" spans="1:4" x14ac:dyDescent="0.45">
      <c r="A439" t="s">
        <v>38</v>
      </c>
      <c r="B439">
        <v>2002</v>
      </c>
      <c r="C439" t="s">
        <v>76</v>
      </c>
      <c r="D439">
        <v>0</v>
      </c>
    </row>
    <row r="440" spans="1:4" x14ac:dyDescent="0.45">
      <c r="A440" t="s">
        <v>32</v>
      </c>
      <c r="B440">
        <v>2002</v>
      </c>
      <c r="C440" t="s">
        <v>76</v>
      </c>
      <c r="D440">
        <v>0</v>
      </c>
    </row>
    <row r="441" spans="1:4" x14ac:dyDescent="0.45">
      <c r="A441" t="s">
        <v>58</v>
      </c>
      <c r="B441">
        <v>2002</v>
      </c>
      <c r="C441" t="s">
        <v>76</v>
      </c>
      <c r="D441">
        <v>0</v>
      </c>
    </row>
    <row r="442" spans="1:4" x14ac:dyDescent="0.45">
      <c r="A442" t="s">
        <v>91</v>
      </c>
      <c r="B442">
        <v>2002</v>
      </c>
      <c r="C442" t="s">
        <v>76</v>
      </c>
      <c r="D442">
        <v>0</v>
      </c>
    </row>
    <row r="443" spans="1:4" x14ac:dyDescent="0.45">
      <c r="A443" t="s">
        <v>32</v>
      </c>
      <c r="B443">
        <v>2003</v>
      </c>
      <c r="C443" t="s">
        <v>76</v>
      </c>
      <c r="D443">
        <v>0</v>
      </c>
    </row>
    <row r="444" spans="1:4" x14ac:dyDescent="0.45">
      <c r="A444" t="s">
        <v>34</v>
      </c>
      <c r="B444">
        <v>2003</v>
      </c>
      <c r="C444" t="s">
        <v>76</v>
      </c>
      <c r="D444">
        <v>0</v>
      </c>
    </row>
    <row r="445" spans="1:4" x14ac:dyDescent="0.45">
      <c r="A445" t="s">
        <v>36</v>
      </c>
      <c r="B445">
        <v>2003</v>
      </c>
      <c r="C445" t="s">
        <v>76</v>
      </c>
      <c r="D445">
        <v>0.1</v>
      </c>
    </row>
    <row r="446" spans="1:4" x14ac:dyDescent="0.45">
      <c r="A446" t="s">
        <v>56</v>
      </c>
      <c r="B446">
        <v>2003</v>
      </c>
      <c r="C446" t="s">
        <v>76</v>
      </c>
      <c r="D446">
        <v>0.39</v>
      </c>
    </row>
    <row r="447" spans="1:4" x14ac:dyDescent="0.45">
      <c r="A447" t="s">
        <v>57</v>
      </c>
      <c r="B447">
        <v>2003</v>
      </c>
      <c r="C447" t="s">
        <v>76</v>
      </c>
      <c r="D447">
        <v>0</v>
      </c>
    </row>
    <row r="448" spans="1:4" x14ac:dyDescent="0.45">
      <c r="A448" t="s">
        <v>38</v>
      </c>
      <c r="B448">
        <v>2003</v>
      </c>
      <c r="C448" t="s">
        <v>76</v>
      </c>
      <c r="D448">
        <v>0</v>
      </c>
    </row>
    <row r="449" spans="1:4" x14ac:dyDescent="0.45">
      <c r="A449" t="s">
        <v>32</v>
      </c>
      <c r="B449">
        <v>2003</v>
      </c>
      <c r="C449" t="s">
        <v>76</v>
      </c>
      <c r="D449">
        <v>0</v>
      </c>
    </row>
    <row r="450" spans="1:4" x14ac:dyDescent="0.45">
      <c r="A450" t="s">
        <v>58</v>
      </c>
      <c r="B450">
        <v>2003</v>
      </c>
      <c r="C450" t="s">
        <v>76</v>
      </c>
      <c r="D450">
        <v>0</v>
      </c>
    </row>
    <row r="451" spans="1:4" x14ac:dyDescent="0.45">
      <c r="A451" t="s">
        <v>91</v>
      </c>
      <c r="B451">
        <v>2003</v>
      </c>
      <c r="C451" t="s">
        <v>76</v>
      </c>
      <c r="D451">
        <v>0</v>
      </c>
    </row>
    <row r="452" spans="1:4" x14ac:dyDescent="0.45">
      <c r="A452" t="s">
        <v>32</v>
      </c>
      <c r="B452">
        <v>2004</v>
      </c>
      <c r="C452" t="s">
        <v>76</v>
      </c>
      <c r="D452">
        <v>0</v>
      </c>
    </row>
    <row r="453" spans="1:4" x14ac:dyDescent="0.45">
      <c r="A453" t="s">
        <v>34</v>
      </c>
      <c r="B453">
        <v>2004</v>
      </c>
      <c r="C453" t="s">
        <v>76</v>
      </c>
      <c r="D453">
        <v>0</v>
      </c>
    </row>
    <row r="454" spans="1:4" x14ac:dyDescent="0.45">
      <c r="A454" t="s">
        <v>36</v>
      </c>
      <c r="B454">
        <v>2004</v>
      </c>
      <c r="C454" t="s">
        <v>76</v>
      </c>
      <c r="D454">
        <v>0.09</v>
      </c>
    </row>
    <row r="455" spans="1:4" x14ac:dyDescent="0.45">
      <c r="A455" t="s">
        <v>56</v>
      </c>
      <c r="B455">
        <v>2004</v>
      </c>
      <c r="C455" t="s">
        <v>76</v>
      </c>
      <c r="D455">
        <v>0.39</v>
      </c>
    </row>
    <row r="456" spans="1:4" x14ac:dyDescent="0.45">
      <c r="A456" t="s">
        <v>57</v>
      </c>
      <c r="B456">
        <v>2004</v>
      </c>
      <c r="C456" t="s">
        <v>76</v>
      </c>
      <c r="D456">
        <v>0</v>
      </c>
    </row>
    <row r="457" spans="1:4" x14ac:dyDescent="0.45">
      <c r="A457" t="s">
        <v>38</v>
      </c>
      <c r="B457">
        <v>2004</v>
      </c>
      <c r="C457" t="s">
        <v>76</v>
      </c>
      <c r="D457">
        <v>0</v>
      </c>
    </row>
    <row r="458" spans="1:4" x14ac:dyDescent="0.45">
      <c r="A458" t="s">
        <v>32</v>
      </c>
      <c r="B458">
        <v>2004</v>
      </c>
      <c r="C458" t="s">
        <v>76</v>
      </c>
      <c r="D458">
        <v>0</v>
      </c>
    </row>
    <row r="459" spans="1:4" x14ac:dyDescent="0.45">
      <c r="A459" t="s">
        <v>58</v>
      </c>
      <c r="B459">
        <v>2004</v>
      </c>
      <c r="C459" t="s">
        <v>76</v>
      </c>
      <c r="D459">
        <v>0</v>
      </c>
    </row>
    <row r="460" spans="1:4" x14ac:dyDescent="0.45">
      <c r="A460" t="s">
        <v>91</v>
      </c>
      <c r="B460">
        <v>2004</v>
      </c>
      <c r="C460" t="s">
        <v>76</v>
      </c>
      <c r="D460">
        <v>0</v>
      </c>
    </row>
    <row r="461" spans="1:4" x14ac:dyDescent="0.45">
      <c r="A461" t="s">
        <v>32</v>
      </c>
      <c r="B461">
        <v>2005</v>
      </c>
      <c r="C461" t="s">
        <v>76</v>
      </c>
      <c r="D461">
        <v>0</v>
      </c>
    </row>
    <row r="462" spans="1:4" x14ac:dyDescent="0.45">
      <c r="A462" t="s">
        <v>34</v>
      </c>
      <c r="B462">
        <v>2005</v>
      </c>
      <c r="C462" t="s">
        <v>76</v>
      </c>
      <c r="D462">
        <v>0</v>
      </c>
    </row>
    <row r="463" spans="1:4" x14ac:dyDescent="0.45">
      <c r="A463" t="s">
        <v>36</v>
      </c>
      <c r="B463">
        <v>2005</v>
      </c>
      <c r="C463" t="s">
        <v>76</v>
      </c>
      <c r="D463">
        <v>7.0000000000000007E-2</v>
      </c>
    </row>
    <row r="464" spans="1:4" x14ac:dyDescent="0.45">
      <c r="A464" t="s">
        <v>56</v>
      </c>
      <c r="B464">
        <v>2005</v>
      </c>
      <c r="C464" t="s">
        <v>76</v>
      </c>
      <c r="D464">
        <v>0.4</v>
      </c>
    </row>
    <row r="465" spans="1:4" x14ac:dyDescent="0.45">
      <c r="A465" t="s">
        <v>57</v>
      </c>
      <c r="B465">
        <v>2005</v>
      </c>
      <c r="C465" t="s">
        <v>76</v>
      </c>
      <c r="D465">
        <v>0</v>
      </c>
    </row>
    <row r="466" spans="1:4" x14ac:dyDescent="0.45">
      <c r="A466" t="s">
        <v>38</v>
      </c>
      <c r="B466">
        <v>2005</v>
      </c>
      <c r="C466" t="s">
        <v>76</v>
      </c>
      <c r="D466">
        <v>0</v>
      </c>
    </row>
    <row r="467" spans="1:4" x14ac:dyDescent="0.45">
      <c r="A467" t="s">
        <v>32</v>
      </c>
      <c r="B467">
        <v>2005</v>
      </c>
      <c r="C467" t="s">
        <v>76</v>
      </c>
      <c r="D467">
        <v>0</v>
      </c>
    </row>
    <row r="468" spans="1:4" x14ac:dyDescent="0.45">
      <c r="A468" t="s">
        <v>58</v>
      </c>
      <c r="B468">
        <v>2005</v>
      </c>
      <c r="C468" t="s">
        <v>76</v>
      </c>
      <c r="D468">
        <v>0</v>
      </c>
    </row>
    <row r="469" spans="1:4" x14ac:dyDescent="0.45">
      <c r="A469" t="s">
        <v>91</v>
      </c>
      <c r="B469">
        <v>2005</v>
      </c>
      <c r="C469" t="s">
        <v>76</v>
      </c>
      <c r="D469">
        <v>0</v>
      </c>
    </row>
    <row r="470" spans="1:4" x14ac:dyDescent="0.45">
      <c r="A470" t="s">
        <v>32</v>
      </c>
      <c r="B470">
        <v>2006</v>
      </c>
      <c r="C470" t="s">
        <v>76</v>
      </c>
      <c r="D470">
        <v>0</v>
      </c>
    </row>
    <row r="471" spans="1:4" x14ac:dyDescent="0.45">
      <c r="A471" t="s">
        <v>34</v>
      </c>
      <c r="B471">
        <v>2006</v>
      </c>
      <c r="C471" t="s">
        <v>76</v>
      </c>
      <c r="D471">
        <v>0</v>
      </c>
    </row>
    <row r="472" spans="1:4" x14ac:dyDescent="0.45">
      <c r="A472" t="s">
        <v>36</v>
      </c>
      <c r="B472">
        <v>2006</v>
      </c>
      <c r="C472" t="s">
        <v>76</v>
      </c>
      <c r="D472">
        <v>0.13</v>
      </c>
    </row>
    <row r="473" spans="1:4" x14ac:dyDescent="0.45">
      <c r="A473" t="s">
        <v>56</v>
      </c>
      <c r="B473">
        <v>2006</v>
      </c>
      <c r="C473" t="s">
        <v>76</v>
      </c>
      <c r="D473">
        <v>0.4</v>
      </c>
    </row>
    <row r="474" spans="1:4" x14ac:dyDescent="0.45">
      <c r="A474" t="s">
        <v>57</v>
      </c>
      <c r="B474">
        <v>2006</v>
      </c>
      <c r="C474" t="s">
        <v>76</v>
      </c>
      <c r="D474">
        <v>0</v>
      </c>
    </row>
    <row r="475" spans="1:4" x14ac:dyDescent="0.45">
      <c r="A475" t="s">
        <v>38</v>
      </c>
      <c r="B475">
        <v>2006</v>
      </c>
      <c r="C475" t="s">
        <v>76</v>
      </c>
      <c r="D475">
        <v>0</v>
      </c>
    </row>
    <row r="476" spans="1:4" x14ac:dyDescent="0.45">
      <c r="A476" t="s">
        <v>32</v>
      </c>
      <c r="B476">
        <v>2006</v>
      </c>
      <c r="C476" t="s">
        <v>76</v>
      </c>
      <c r="D476">
        <v>0</v>
      </c>
    </row>
    <row r="477" spans="1:4" x14ac:dyDescent="0.45">
      <c r="A477" t="s">
        <v>58</v>
      </c>
      <c r="B477">
        <v>2006</v>
      </c>
      <c r="C477" t="s">
        <v>76</v>
      </c>
      <c r="D477">
        <v>0</v>
      </c>
    </row>
    <row r="478" spans="1:4" x14ac:dyDescent="0.45">
      <c r="A478" t="s">
        <v>91</v>
      </c>
      <c r="B478">
        <v>2006</v>
      </c>
      <c r="C478" t="s">
        <v>76</v>
      </c>
      <c r="D478">
        <v>0</v>
      </c>
    </row>
    <row r="479" spans="1:4" x14ac:dyDescent="0.45">
      <c r="A479" t="s">
        <v>32</v>
      </c>
      <c r="B479">
        <v>2007</v>
      </c>
      <c r="C479" t="s">
        <v>76</v>
      </c>
      <c r="D479">
        <v>0</v>
      </c>
    </row>
    <row r="480" spans="1:4" x14ac:dyDescent="0.45">
      <c r="A480" t="s">
        <v>34</v>
      </c>
      <c r="B480">
        <v>2007</v>
      </c>
      <c r="C480" t="s">
        <v>76</v>
      </c>
      <c r="D480">
        <v>0</v>
      </c>
    </row>
    <row r="481" spans="1:4" x14ac:dyDescent="0.45">
      <c r="A481" t="s">
        <v>36</v>
      </c>
      <c r="B481">
        <v>2007</v>
      </c>
      <c r="C481" t="s">
        <v>76</v>
      </c>
      <c r="D481">
        <v>0.22</v>
      </c>
    </row>
    <row r="482" spans="1:4" x14ac:dyDescent="0.45">
      <c r="A482" t="s">
        <v>56</v>
      </c>
      <c r="B482">
        <v>2007</v>
      </c>
      <c r="C482" t="s">
        <v>76</v>
      </c>
      <c r="D482">
        <v>0.41</v>
      </c>
    </row>
    <row r="483" spans="1:4" x14ac:dyDescent="0.45">
      <c r="A483" t="s">
        <v>57</v>
      </c>
      <c r="B483">
        <v>2007</v>
      </c>
      <c r="C483" t="s">
        <v>76</v>
      </c>
      <c r="D483">
        <v>0</v>
      </c>
    </row>
    <row r="484" spans="1:4" x14ac:dyDescent="0.45">
      <c r="A484" t="s">
        <v>38</v>
      </c>
      <c r="B484">
        <v>2007</v>
      </c>
      <c r="C484" t="s">
        <v>76</v>
      </c>
      <c r="D484">
        <v>0</v>
      </c>
    </row>
    <row r="485" spans="1:4" x14ac:dyDescent="0.45">
      <c r="A485" t="s">
        <v>32</v>
      </c>
      <c r="B485">
        <v>2007</v>
      </c>
      <c r="C485" t="s">
        <v>76</v>
      </c>
      <c r="D485">
        <v>0</v>
      </c>
    </row>
    <row r="486" spans="1:4" x14ac:dyDescent="0.45">
      <c r="A486" t="s">
        <v>58</v>
      </c>
      <c r="B486">
        <v>2007</v>
      </c>
      <c r="C486" t="s">
        <v>76</v>
      </c>
      <c r="D486">
        <v>0</v>
      </c>
    </row>
    <row r="487" spans="1:4" x14ac:dyDescent="0.45">
      <c r="A487" t="s">
        <v>91</v>
      </c>
      <c r="B487">
        <v>2007</v>
      </c>
      <c r="C487" t="s">
        <v>76</v>
      </c>
      <c r="D487">
        <v>0</v>
      </c>
    </row>
    <row r="488" spans="1:4" x14ac:dyDescent="0.45">
      <c r="A488" t="s">
        <v>32</v>
      </c>
      <c r="B488">
        <v>2008</v>
      </c>
      <c r="C488" t="s">
        <v>76</v>
      </c>
      <c r="D488">
        <v>0</v>
      </c>
    </row>
    <row r="489" spans="1:4" x14ac:dyDescent="0.45">
      <c r="A489" t="s">
        <v>34</v>
      </c>
      <c r="B489">
        <v>2008</v>
      </c>
      <c r="C489" t="s">
        <v>76</v>
      </c>
      <c r="D489">
        <v>0</v>
      </c>
    </row>
    <row r="490" spans="1:4" x14ac:dyDescent="0.45">
      <c r="A490" t="s">
        <v>36</v>
      </c>
      <c r="B490">
        <v>2008</v>
      </c>
      <c r="C490" t="s">
        <v>76</v>
      </c>
      <c r="D490">
        <v>0.2</v>
      </c>
    </row>
    <row r="491" spans="1:4" x14ac:dyDescent="0.45">
      <c r="A491" t="s">
        <v>56</v>
      </c>
      <c r="B491">
        <v>2008</v>
      </c>
      <c r="C491" t="s">
        <v>76</v>
      </c>
      <c r="D491">
        <v>0.38</v>
      </c>
    </row>
    <row r="492" spans="1:4" x14ac:dyDescent="0.45">
      <c r="A492" t="s">
        <v>57</v>
      </c>
      <c r="B492">
        <v>2008</v>
      </c>
      <c r="C492" t="s">
        <v>76</v>
      </c>
      <c r="D492">
        <v>0</v>
      </c>
    </row>
    <row r="493" spans="1:4" x14ac:dyDescent="0.45">
      <c r="A493" t="s">
        <v>38</v>
      </c>
      <c r="B493">
        <v>2008</v>
      </c>
      <c r="C493" t="s">
        <v>76</v>
      </c>
      <c r="D493">
        <v>0</v>
      </c>
    </row>
    <row r="494" spans="1:4" x14ac:dyDescent="0.45">
      <c r="A494" t="s">
        <v>32</v>
      </c>
      <c r="B494">
        <v>2008</v>
      </c>
      <c r="C494" t="s">
        <v>76</v>
      </c>
      <c r="D494">
        <v>0</v>
      </c>
    </row>
    <row r="495" spans="1:4" x14ac:dyDescent="0.45">
      <c r="A495" t="s">
        <v>58</v>
      </c>
      <c r="B495">
        <v>2008</v>
      </c>
      <c r="C495" t="s">
        <v>76</v>
      </c>
      <c r="D495">
        <v>0</v>
      </c>
    </row>
    <row r="496" spans="1:4" x14ac:dyDescent="0.45">
      <c r="A496" t="s">
        <v>91</v>
      </c>
      <c r="B496">
        <v>2008</v>
      </c>
      <c r="C496" t="s">
        <v>76</v>
      </c>
      <c r="D496">
        <v>0</v>
      </c>
    </row>
    <row r="497" spans="1:4" x14ac:dyDescent="0.45">
      <c r="A497" t="s">
        <v>32</v>
      </c>
      <c r="B497">
        <v>2009</v>
      </c>
      <c r="C497" t="s">
        <v>76</v>
      </c>
      <c r="D497">
        <v>0</v>
      </c>
    </row>
    <row r="498" spans="1:4" x14ac:dyDescent="0.45">
      <c r="A498" t="s">
        <v>34</v>
      </c>
      <c r="B498">
        <v>2009</v>
      </c>
      <c r="C498" t="s">
        <v>76</v>
      </c>
      <c r="D498">
        <v>0</v>
      </c>
    </row>
    <row r="499" spans="1:4" x14ac:dyDescent="0.45">
      <c r="A499" t="s">
        <v>36</v>
      </c>
      <c r="B499">
        <v>2009</v>
      </c>
      <c r="C499" t="s">
        <v>76</v>
      </c>
      <c r="D499">
        <v>0.13</v>
      </c>
    </row>
    <row r="500" spans="1:4" x14ac:dyDescent="0.45">
      <c r="A500" t="s">
        <v>56</v>
      </c>
      <c r="B500">
        <v>2009</v>
      </c>
      <c r="C500" t="s">
        <v>76</v>
      </c>
      <c r="D500">
        <v>0.38</v>
      </c>
    </row>
    <row r="501" spans="1:4" x14ac:dyDescent="0.45">
      <c r="A501" t="s">
        <v>57</v>
      </c>
      <c r="B501">
        <v>2009</v>
      </c>
      <c r="C501" t="s">
        <v>76</v>
      </c>
      <c r="D501">
        <v>0</v>
      </c>
    </row>
    <row r="502" spans="1:4" x14ac:dyDescent="0.45">
      <c r="A502" t="s">
        <v>38</v>
      </c>
      <c r="B502">
        <v>2009</v>
      </c>
      <c r="C502" t="s">
        <v>76</v>
      </c>
      <c r="D502">
        <v>0</v>
      </c>
    </row>
    <row r="503" spans="1:4" x14ac:dyDescent="0.45">
      <c r="A503" t="s">
        <v>32</v>
      </c>
      <c r="B503">
        <v>2009</v>
      </c>
      <c r="C503" t="s">
        <v>76</v>
      </c>
      <c r="D503">
        <v>0</v>
      </c>
    </row>
    <row r="504" spans="1:4" x14ac:dyDescent="0.45">
      <c r="A504" t="s">
        <v>58</v>
      </c>
      <c r="B504">
        <v>2009</v>
      </c>
      <c r="C504" t="s">
        <v>76</v>
      </c>
      <c r="D504">
        <v>0</v>
      </c>
    </row>
    <row r="505" spans="1:4" x14ac:dyDescent="0.45">
      <c r="A505" t="s">
        <v>91</v>
      </c>
      <c r="B505">
        <v>2009</v>
      </c>
      <c r="C505" t="s">
        <v>76</v>
      </c>
      <c r="D505">
        <v>0</v>
      </c>
    </row>
    <row r="506" spans="1:4" x14ac:dyDescent="0.45">
      <c r="A506" t="s">
        <v>32</v>
      </c>
      <c r="B506">
        <v>2010</v>
      </c>
      <c r="C506" t="s">
        <v>76</v>
      </c>
      <c r="D506">
        <v>0</v>
      </c>
    </row>
    <row r="507" spans="1:4" x14ac:dyDescent="0.45">
      <c r="A507" t="s">
        <v>34</v>
      </c>
      <c r="B507">
        <v>2010</v>
      </c>
      <c r="C507" t="s">
        <v>76</v>
      </c>
      <c r="D507">
        <v>0</v>
      </c>
    </row>
    <row r="508" spans="1:4" x14ac:dyDescent="0.45">
      <c r="A508" t="s">
        <v>36</v>
      </c>
      <c r="B508">
        <v>2010</v>
      </c>
      <c r="C508" t="s">
        <v>76</v>
      </c>
      <c r="D508">
        <v>0.02</v>
      </c>
    </row>
    <row r="509" spans="1:4" x14ac:dyDescent="0.45">
      <c r="A509" t="s">
        <v>56</v>
      </c>
      <c r="B509">
        <v>2010</v>
      </c>
      <c r="C509" t="s">
        <v>76</v>
      </c>
      <c r="D509">
        <v>0.39</v>
      </c>
    </row>
    <row r="510" spans="1:4" x14ac:dyDescent="0.45">
      <c r="A510" t="s">
        <v>57</v>
      </c>
      <c r="B510">
        <v>2010</v>
      </c>
      <c r="C510" t="s">
        <v>76</v>
      </c>
      <c r="D510">
        <v>0</v>
      </c>
    </row>
    <row r="511" spans="1:4" x14ac:dyDescent="0.45">
      <c r="A511" t="s">
        <v>38</v>
      </c>
      <c r="B511">
        <v>2010</v>
      </c>
      <c r="C511" t="s">
        <v>76</v>
      </c>
      <c r="D511">
        <v>0</v>
      </c>
    </row>
    <row r="512" spans="1:4" x14ac:dyDescent="0.45">
      <c r="A512" t="s">
        <v>32</v>
      </c>
      <c r="B512">
        <v>2010</v>
      </c>
      <c r="C512" t="s">
        <v>76</v>
      </c>
      <c r="D512">
        <v>0</v>
      </c>
    </row>
    <row r="513" spans="1:4" x14ac:dyDescent="0.45">
      <c r="A513" t="s">
        <v>58</v>
      </c>
      <c r="B513">
        <v>2010</v>
      </c>
      <c r="C513" t="s">
        <v>76</v>
      </c>
      <c r="D513">
        <v>0</v>
      </c>
    </row>
    <row r="514" spans="1:4" x14ac:dyDescent="0.45">
      <c r="A514" t="s">
        <v>91</v>
      </c>
      <c r="B514">
        <v>2010</v>
      </c>
      <c r="C514" t="s">
        <v>76</v>
      </c>
      <c r="D514">
        <v>0</v>
      </c>
    </row>
    <row r="515" spans="1:4" x14ac:dyDescent="0.45">
      <c r="A515" t="s">
        <v>32</v>
      </c>
      <c r="B515">
        <v>2011</v>
      </c>
      <c r="C515" t="s">
        <v>76</v>
      </c>
      <c r="D515">
        <v>0</v>
      </c>
    </row>
    <row r="516" spans="1:4" x14ac:dyDescent="0.45">
      <c r="A516" t="s">
        <v>34</v>
      </c>
      <c r="B516">
        <v>2011</v>
      </c>
      <c r="C516" t="s">
        <v>76</v>
      </c>
      <c r="D516">
        <v>0</v>
      </c>
    </row>
    <row r="517" spans="1:4" x14ac:dyDescent="0.45">
      <c r="A517" t="s">
        <v>36</v>
      </c>
      <c r="B517">
        <v>2011</v>
      </c>
      <c r="C517" t="s">
        <v>76</v>
      </c>
      <c r="D517">
        <v>0.02</v>
      </c>
    </row>
    <row r="518" spans="1:4" x14ac:dyDescent="0.45">
      <c r="A518" t="s">
        <v>56</v>
      </c>
      <c r="B518">
        <v>2011</v>
      </c>
      <c r="C518" t="s">
        <v>76</v>
      </c>
      <c r="D518">
        <v>0.38</v>
      </c>
    </row>
    <row r="519" spans="1:4" x14ac:dyDescent="0.45">
      <c r="A519" t="s">
        <v>57</v>
      </c>
      <c r="B519">
        <v>2011</v>
      </c>
      <c r="C519" t="s">
        <v>76</v>
      </c>
      <c r="D519">
        <v>0</v>
      </c>
    </row>
    <row r="520" spans="1:4" x14ac:dyDescent="0.45">
      <c r="A520" t="s">
        <v>38</v>
      </c>
      <c r="B520">
        <v>2011</v>
      </c>
      <c r="C520" t="s">
        <v>76</v>
      </c>
      <c r="D520">
        <v>0</v>
      </c>
    </row>
    <row r="521" spans="1:4" x14ac:dyDescent="0.45">
      <c r="A521" t="s">
        <v>32</v>
      </c>
      <c r="B521">
        <v>2011</v>
      </c>
      <c r="C521" t="s">
        <v>76</v>
      </c>
      <c r="D521">
        <v>0</v>
      </c>
    </row>
    <row r="522" spans="1:4" x14ac:dyDescent="0.45">
      <c r="A522" t="s">
        <v>58</v>
      </c>
      <c r="B522">
        <v>2011</v>
      </c>
      <c r="C522" t="s">
        <v>76</v>
      </c>
      <c r="D522">
        <v>0</v>
      </c>
    </row>
    <row r="523" spans="1:4" x14ac:dyDescent="0.45">
      <c r="A523" t="s">
        <v>91</v>
      </c>
      <c r="B523">
        <v>2011</v>
      </c>
      <c r="C523" t="s">
        <v>76</v>
      </c>
      <c r="D523">
        <v>0</v>
      </c>
    </row>
    <row r="524" spans="1:4" x14ac:dyDescent="0.45">
      <c r="A524" t="s">
        <v>32</v>
      </c>
      <c r="B524">
        <v>2012</v>
      </c>
      <c r="C524" t="s">
        <v>76</v>
      </c>
      <c r="D524">
        <v>0</v>
      </c>
    </row>
    <row r="525" spans="1:4" x14ac:dyDescent="0.45">
      <c r="A525" t="s">
        <v>34</v>
      </c>
      <c r="B525">
        <v>2012</v>
      </c>
      <c r="C525" t="s">
        <v>76</v>
      </c>
      <c r="D525">
        <v>0</v>
      </c>
    </row>
    <row r="526" spans="1:4" x14ac:dyDescent="0.45">
      <c r="A526" t="s">
        <v>36</v>
      </c>
      <c r="B526">
        <v>2012</v>
      </c>
      <c r="C526" t="s">
        <v>76</v>
      </c>
      <c r="D526">
        <v>0.04</v>
      </c>
    </row>
    <row r="527" spans="1:4" x14ac:dyDescent="0.45">
      <c r="A527" t="s">
        <v>56</v>
      </c>
      <c r="B527">
        <v>2012</v>
      </c>
      <c r="C527" t="s">
        <v>76</v>
      </c>
      <c r="D527">
        <v>0.4</v>
      </c>
    </row>
    <row r="528" spans="1:4" x14ac:dyDescent="0.45">
      <c r="A528" t="s">
        <v>57</v>
      </c>
      <c r="B528">
        <v>2012</v>
      </c>
      <c r="C528" t="s">
        <v>76</v>
      </c>
      <c r="D528">
        <v>0</v>
      </c>
    </row>
    <row r="529" spans="1:4" x14ac:dyDescent="0.45">
      <c r="A529" t="s">
        <v>38</v>
      </c>
      <c r="B529">
        <v>2012</v>
      </c>
      <c r="C529" t="s">
        <v>76</v>
      </c>
      <c r="D529">
        <v>0</v>
      </c>
    </row>
    <row r="530" spans="1:4" x14ac:dyDescent="0.45">
      <c r="A530" t="s">
        <v>32</v>
      </c>
      <c r="B530">
        <v>2012</v>
      </c>
      <c r="C530" t="s">
        <v>76</v>
      </c>
      <c r="D530">
        <v>0</v>
      </c>
    </row>
    <row r="531" spans="1:4" x14ac:dyDescent="0.45">
      <c r="A531" t="s">
        <v>58</v>
      </c>
      <c r="B531">
        <v>2012</v>
      </c>
      <c r="C531" t="s">
        <v>76</v>
      </c>
      <c r="D531">
        <v>0</v>
      </c>
    </row>
    <row r="532" spans="1:4" x14ac:dyDescent="0.45">
      <c r="A532" t="s">
        <v>91</v>
      </c>
      <c r="B532">
        <v>2012</v>
      </c>
      <c r="C532" t="s">
        <v>76</v>
      </c>
      <c r="D532">
        <v>0</v>
      </c>
    </row>
    <row r="533" spans="1:4" x14ac:dyDescent="0.45">
      <c r="A533" t="s">
        <v>32</v>
      </c>
      <c r="B533">
        <v>2013</v>
      </c>
      <c r="C533" t="s">
        <v>76</v>
      </c>
      <c r="D533">
        <v>0</v>
      </c>
    </row>
    <row r="534" spans="1:4" x14ac:dyDescent="0.45">
      <c r="A534" t="s">
        <v>34</v>
      </c>
      <c r="B534">
        <v>2013</v>
      </c>
      <c r="C534" t="s">
        <v>76</v>
      </c>
      <c r="D534">
        <v>0.04</v>
      </c>
    </row>
    <row r="535" spans="1:4" x14ac:dyDescent="0.45">
      <c r="A535" t="s">
        <v>36</v>
      </c>
      <c r="B535">
        <v>2013</v>
      </c>
      <c r="C535" t="s">
        <v>76</v>
      </c>
      <c r="D535">
        <v>0</v>
      </c>
    </row>
    <row r="536" spans="1:4" x14ac:dyDescent="0.45">
      <c r="A536" t="s">
        <v>56</v>
      </c>
      <c r="B536">
        <v>2013</v>
      </c>
      <c r="C536" t="s">
        <v>76</v>
      </c>
      <c r="D536">
        <v>0.41</v>
      </c>
    </row>
    <row r="537" spans="1:4" x14ac:dyDescent="0.45">
      <c r="A537" t="s">
        <v>57</v>
      </c>
      <c r="B537">
        <v>2013</v>
      </c>
      <c r="C537" t="s">
        <v>76</v>
      </c>
      <c r="D537">
        <v>0</v>
      </c>
    </row>
    <row r="538" spans="1:4" x14ac:dyDescent="0.45">
      <c r="A538" t="s">
        <v>38</v>
      </c>
      <c r="B538">
        <v>2013</v>
      </c>
      <c r="C538" t="s">
        <v>76</v>
      </c>
      <c r="D538">
        <v>0</v>
      </c>
    </row>
    <row r="539" spans="1:4" x14ac:dyDescent="0.45">
      <c r="A539" t="s">
        <v>32</v>
      </c>
      <c r="B539">
        <v>2013</v>
      </c>
      <c r="C539" t="s">
        <v>76</v>
      </c>
      <c r="D539">
        <v>0</v>
      </c>
    </row>
    <row r="540" spans="1:4" x14ac:dyDescent="0.45">
      <c r="A540" t="s">
        <v>58</v>
      </c>
      <c r="B540">
        <v>2013</v>
      </c>
      <c r="C540" t="s">
        <v>76</v>
      </c>
      <c r="D540">
        <v>0</v>
      </c>
    </row>
    <row r="541" spans="1:4" x14ac:dyDescent="0.45">
      <c r="A541" t="s">
        <v>91</v>
      </c>
      <c r="B541">
        <v>2013</v>
      </c>
      <c r="C541" t="s">
        <v>76</v>
      </c>
      <c r="D541">
        <v>0</v>
      </c>
    </row>
    <row r="542" spans="1:4" x14ac:dyDescent="0.45">
      <c r="A542" t="s">
        <v>32</v>
      </c>
      <c r="B542">
        <v>2014</v>
      </c>
      <c r="C542" t="s">
        <v>76</v>
      </c>
      <c r="D542">
        <v>0</v>
      </c>
    </row>
    <row r="543" spans="1:4" x14ac:dyDescent="0.45">
      <c r="A543" t="s">
        <v>34</v>
      </c>
      <c r="B543">
        <v>2014</v>
      </c>
      <c r="C543" t="s">
        <v>76</v>
      </c>
      <c r="D543">
        <v>0.15</v>
      </c>
    </row>
    <row r="544" spans="1:4" x14ac:dyDescent="0.45">
      <c r="A544" t="s">
        <v>36</v>
      </c>
      <c r="B544">
        <v>2014</v>
      </c>
      <c r="C544" t="s">
        <v>76</v>
      </c>
      <c r="D544">
        <v>0</v>
      </c>
    </row>
    <row r="545" spans="1:4" x14ac:dyDescent="0.45">
      <c r="A545" t="s">
        <v>56</v>
      </c>
      <c r="B545">
        <v>2014</v>
      </c>
      <c r="C545" t="s">
        <v>76</v>
      </c>
      <c r="D545">
        <v>0.38</v>
      </c>
    </row>
    <row r="546" spans="1:4" x14ac:dyDescent="0.45">
      <c r="A546" t="s">
        <v>57</v>
      </c>
      <c r="B546">
        <v>2014</v>
      </c>
      <c r="C546" t="s">
        <v>76</v>
      </c>
      <c r="D546">
        <v>0</v>
      </c>
    </row>
    <row r="547" spans="1:4" x14ac:dyDescent="0.45">
      <c r="A547" t="s">
        <v>38</v>
      </c>
      <c r="B547">
        <v>2014</v>
      </c>
      <c r="C547" t="s">
        <v>76</v>
      </c>
      <c r="D547">
        <v>0</v>
      </c>
    </row>
    <row r="548" spans="1:4" x14ac:dyDescent="0.45">
      <c r="A548" t="s">
        <v>32</v>
      </c>
      <c r="B548">
        <v>2014</v>
      </c>
      <c r="C548" t="s">
        <v>76</v>
      </c>
      <c r="D548">
        <v>0</v>
      </c>
    </row>
    <row r="549" spans="1:4" x14ac:dyDescent="0.45">
      <c r="A549" t="s">
        <v>58</v>
      </c>
      <c r="B549">
        <v>2014</v>
      </c>
      <c r="C549" t="s">
        <v>76</v>
      </c>
      <c r="D549">
        <v>0</v>
      </c>
    </row>
    <row r="550" spans="1:4" x14ac:dyDescent="0.45">
      <c r="A550" t="s">
        <v>91</v>
      </c>
      <c r="B550">
        <v>2014</v>
      </c>
      <c r="C550" t="s">
        <v>76</v>
      </c>
      <c r="D550">
        <v>0</v>
      </c>
    </row>
    <row r="551" spans="1:4" x14ac:dyDescent="0.45">
      <c r="A551" t="s">
        <v>32</v>
      </c>
      <c r="B551">
        <v>2015</v>
      </c>
      <c r="C551" t="s">
        <v>76</v>
      </c>
      <c r="D551">
        <v>0</v>
      </c>
    </row>
    <row r="552" spans="1:4" x14ac:dyDescent="0.45">
      <c r="A552" t="s">
        <v>34</v>
      </c>
      <c r="B552">
        <v>2015</v>
      </c>
      <c r="C552" t="s">
        <v>76</v>
      </c>
      <c r="D552">
        <v>0.15</v>
      </c>
    </row>
    <row r="553" spans="1:4" x14ac:dyDescent="0.45">
      <c r="A553" t="s">
        <v>36</v>
      </c>
      <c r="B553">
        <v>2015</v>
      </c>
      <c r="C553" t="s">
        <v>76</v>
      </c>
      <c r="D553">
        <v>0</v>
      </c>
    </row>
    <row r="554" spans="1:4" x14ac:dyDescent="0.45">
      <c r="A554" t="s">
        <v>56</v>
      </c>
      <c r="B554">
        <v>2015</v>
      </c>
      <c r="C554" t="s">
        <v>76</v>
      </c>
      <c r="D554">
        <v>0.4</v>
      </c>
    </row>
    <row r="555" spans="1:4" x14ac:dyDescent="0.45">
      <c r="A555" t="s">
        <v>57</v>
      </c>
      <c r="B555">
        <v>2015</v>
      </c>
      <c r="C555" t="s">
        <v>76</v>
      </c>
      <c r="D555">
        <v>0</v>
      </c>
    </row>
    <row r="556" spans="1:4" x14ac:dyDescent="0.45">
      <c r="A556" t="s">
        <v>38</v>
      </c>
      <c r="B556">
        <v>2015</v>
      </c>
      <c r="C556" t="s">
        <v>76</v>
      </c>
      <c r="D556">
        <v>0</v>
      </c>
    </row>
    <row r="557" spans="1:4" x14ac:dyDescent="0.45">
      <c r="A557" t="s">
        <v>32</v>
      </c>
      <c r="B557">
        <v>2015</v>
      </c>
      <c r="C557" t="s">
        <v>76</v>
      </c>
      <c r="D557">
        <v>0</v>
      </c>
    </row>
    <row r="558" spans="1:4" x14ac:dyDescent="0.45">
      <c r="A558" t="s">
        <v>58</v>
      </c>
      <c r="B558">
        <v>2015</v>
      </c>
      <c r="C558" t="s">
        <v>76</v>
      </c>
      <c r="D558">
        <v>0</v>
      </c>
    </row>
    <row r="559" spans="1:4" x14ac:dyDescent="0.45">
      <c r="A559" t="s">
        <v>91</v>
      </c>
      <c r="B559">
        <v>2015</v>
      </c>
      <c r="C559" t="s">
        <v>76</v>
      </c>
      <c r="D559">
        <v>0</v>
      </c>
    </row>
    <row r="560" spans="1:4" x14ac:dyDescent="0.45">
      <c r="A560" t="s">
        <v>32</v>
      </c>
      <c r="B560">
        <v>2016</v>
      </c>
      <c r="C560" t="s">
        <v>76</v>
      </c>
      <c r="D560">
        <v>0</v>
      </c>
    </row>
    <row r="561" spans="1:4" x14ac:dyDescent="0.45">
      <c r="A561" t="s">
        <v>34</v>
      </c>
      <c r="B561">
        <v>2016</v>
      </c>
      <c r="C561" t="s">
        <v>76</v>
      </c>
      <c r="D561">
        <v>0.57999999999999996</v>
      </c>
    </row>
    <row r="562" spans="1:4" x14ac:dyDescent="0.45">
      <c r="A562" t="s">
        <v>36</v>
      </c>
      <c r="B562">
        <v>2016</v>
      </c>
      <c r="C562" t="s">
        <v>76</v>
      </c>
      <c r="D562">
        <v>0</v>
      </c>
    </row>
    <row r="563" spans="1:4" x14ac:dyDescent="0.45">
      <c r="A563" t="s">
        <v>56</v>
      </c>
      <c r="B563">
        <v>2016</v>
      </c>
      <c r="C563" t="s">
        <v>76</v>
      </c>
      <c r="D563">
        <v>0.4</v>
      </c>
    </row>
    <row r="564" spans="1:4" x14ac:dyDescent="0.45">
      <c r="A564" t="s">
        <v>57</v>
      </c>
      <c r="B564">
        <v>2016</v>
      </c>
      <c r="C564" t="s">
        <v>76</v>
      </c>
      <c r="D564">
        <v>0</v>
      </c>
    </row>
    <row r="565" spans="1:4" x14ac:dyDescent="0.45">
      <c r="A565" t="s">
        <v>38</v>
      </c>
      <c r="B565">
        <v>2016</v>
      </c>
      <c r="C565" t="s">
        <v>76</v>
      </c>
      <c r="D565">
        <v>0</v>
      </c>
    </row>
    <row r="566" spans="1:4" x14ac:dyDescent="0.45">
      <c r="A566" t="s">
        <v>32</v>
      </c>
      <c r="B566">
        <v>2016</v>
      </c>
      <c r="C566" t="s">
        <v>76</v>
      </c>
      <c r="D566">
        <v>0</v>
      </c>
    </row>
    <row r="567" spans="1:4" x14ac:dyDescent="0.45">
      <c r="A567" t="s">
        <v>58</v>
      </c>
      <c r="B567">
        <v>2016</v>
      </c>
      <c r="C567" t="s">
        <v>76</v>
      </c>
      <c r="D567">
        <v>0</v>
      </c>
    </row>
    <row r="568" spans="1:4" x14ac:dyDescent="0.45">
      <c r="A568" t="s">
        <v>91</v>
      </c>
      <c r="B568">
        <v>2016</v>
      </c>
      <c r="C568" t="s">
        <v>76</v>
      </c>
      <c r="D568">
        <v>0</v>
      </c>
    </row>
    <row r="569" spans="1:4" x14ac:dyDescent="0.45">
      <c r="A569" t="s">
        <v>32</v>
      </c>
      <c r="B569">
        <v>2017</v>
      </c>
      <c r="C569" t="s">
        <v>76</v>
      </c>
      <c r="D569">
        <v>0</v>
      </c>
    </row>
    <row r="570" spans="1:4" x14ac:dyDescent="0.45">
      <c r="A570" t="s">
        <v>34</v>
      </c>
      <c r="B570">
        <v>2017</v>
      </c>
      <c r="C570" t="s">
        <v>76</v>
      </c>
      <c r="D570">
        <v>0.94</v>
      </c>
    </row>
    <row r="571" spans="1:4" x14ac:dyDescent="0.45">
      <c r="A571" t="s">
        <v>36</v>
      </c>
      <c r="B571">
        <v>2017</v>
      </c>
      <c r="C571" t="s">
        <v>76</v>
      </c>
      <c r="D571">
        <v>0</v>
      </c>
    </row>
    <row r="572" spans="1:4" x14ac:dyDescent="0.45">
      <c r="A572" t="s">
        <v>56</v>
      </c>
      <c r="B572">
        <v>2017</v>
      </c>
      <c r="C572" t="s">
        <v>76</v>
      </c>
      <c r="D572">
        <v>0.41</v>
      </c>
    </row>
    <row r="573" spans="1:4" x14ac:dyDescent="0.45">
      <c r="A573" t="s">
        <v>57</v>
      </c>
      <c r="B573">
        <v>2017</v>
      </c>
      <c r="C573" t="s">
        <v>76</v>
      </c>
      <c r="D573">
        <v>0</v>
      </c>
    </row>
    <row r="574" spans="1:4" x14ac:dyDescent="0.45">
      <c r="A574" t="s">
        <v>38</v>
      </c>
      <c r="B574">
        <v>2017</v>
      </c>
      <c r="C574" t="s">
        <v>76</v>
      </c>
      <c r="D574">
        <v>0</v>
      </c>
    </row>
    <row r="575" spans="1:4" x14ac:dyDescent="0.45">
      <c r="A575" t="s">
        <v>32</v>
      </c>
      <c r="B575">
        <v>2017</v>
      </c>
      <c r="C575" t="s">
        <v>76</v>
      </c>
      <c r="D575">
        <v>0</v>
      </c>
    </row>
    <row r="576" spans="1:4" x14ac:dyDescent="0.45">
      <c r="A576" t="s">
        <v>58</v>
      </c>
      <c r="B576">
        <v>2017</v>
      </c>
      <c r="C576" t="s">
        <v>76</v>
      </c>
      <c r="D576">
        <v>0</v>
      </c>
    </row>
    <row r="577" spans="1:4" x14ac:dyDescent="0.45">
      <c r="A577" t="s">
        <v>91</v>
      </c>
      <c r="B577">
        <v>2017</v>
      </c>
      <c r="C577" t="s">
        <v>76</v>
      </c>
      <c r="D577">
        <v>0</v>
      </c>
    </row>
    <row r="578" spans="1:4" x14ac:dyDescent="0.45">
      <c r="A578" t="s">
        <v>32</v>
      </c>
      <c r="B578">
        <v>2018</v>
      </c>
      <c r="C578" t="s">
        <v>76</v>
      </c>
      <c r="D578">
        <v>0</v>
      </c>
    </row>
    <row r="579" spans="1:4" x14ac:dyDescent="0.45">
      <c r="A579" t="s">
        <v>34</v>
      </c>
      <c r="B579">
        <v>2018</v>
      </c>
      <c r="C579" t="s">
        <v>76</v>
      </c>
      <c r="D579">
        <v>1.29</v>
      </c>
    </row>
    <row r="580" spans="1:4" x14ac:dyDescent="0.45">
      <c r="A580" t="s">
        <v>36</v>
      </c>
      <c r="B580">
        <v>2018</v>
      </c>
      <c r="C580" t="s">
        <v>76</v>
      </c>
      <c r="D580">
        <v>0</v>
      </c>
    </row>
    <row r="581" spans="1:4" x14ac:dyDescent="0.45">
      <c r="A581" t="s">
        <v>56</v>
      </c>
      <c r="B581">
        <v>2018</v>
      </c>
      <c r="C581" t="s">
        <v>76</v>
      </c>
      <c r="D581">
        <v>0.44</v>
      </c>
    </row>
    <row r="582" spans="1:4" x14ac:dyDescent="0.45">
      <c r="A582" t="s">
        <v>57</v>
      </c>
      <c r="B582">
        <v>2018</v>
      </c>
      <c r="C582" t="s">
        <v>76</v>
      </c>
      <c r="D582">
        <v>0</v>
      </c>
    </row>
    <row r="583" spans="1:4" x14ac:dyDescent="0.45">
      <c r="A583" t="s">
        <v>38</v>
      </c>
      <c r="B583">
        <v>2018</v>
      </c>
      <c r="C583" t="s">
        <v>76</v>
      </c>
      <c r="D583">
        <v>0</v>
      </c>
    </row>
    <row r="584" spans="1:4" x14ac:dyDescent="0.45">
      <c r="A584" t="s">
        <v>32</v>
      </c>
      <c r="B584">
        <v>2018</v>
      </c>
      <c r="C584" t="s">
        <v>76</v>
      </c>
      <c r="D584">
        <v>0</v>
      </c>
    </row>
    <row r="585" spans="1:4" x14ac:dyDescent="0.45">
      <c r="A585" t="s">
        <v>58</v>
      </c>
      <c r="B585">
        <v>2018</v>
      </c>
      <c r="C585" t="s">
        <v>76</v>
      </c>
      <c r="D585">
        <v>0</v>
      </c>
    </row>
    <row r="586" spans="1:4" x14ac:dyDescent="0.45">
      <c r="A586" t="s">
        <v>91</v>
      </c>
      <c r="B586">
        <v>2018</v>
      </c>
      <c r="C586" t="s">
        <v>76</v>
      </c>
      <c r="D586">
        <v>0</v>
      </c>
    </row>
    <row r="587" spans="1:4" x14ac:dyDescent="0.45">
      <c r="A587" t="s">
        <v>32</v>
      </c>
      <c r="B587">
        <v>2019</v>
      </c>
      <c r="C587" t="s">
        <v>76</v>
      </c>
      <c r="D587">
        <v>0</v>
      </c>
    </row>
    <row r="588" spans="1:4" x14ac:dyDescent="0.45">
      <c r="A588" t="s">
        <v>34</v>
      </c>
      <c r="B588">
        <v>2019</v>
      </c>
      <c r="C588" t="s">
        <v>76</v>
      </c>
      <c r="D588">
        <v>1.42</v>
      </c>
    </row>
    <row r="589" spans="1:4" x14ac:dyDescent="0.45">
      <c r="A589" t="s">
        <v>36</v>
      </c>
      <c r="B589">
        <v>2019</v>
      </c>
      <c r="C589" t="s">
        <v>76</v>
      </c>
      <c r="D589">
        <v>0.18</v>
      </c>
    </row>
    <row r="590" spans="1:4" x14ac:dyDescent="0.45">
      <c r="A590" t="s">
        <v>56</v>
      </c>
      <c r="B590">
        <v>2019</v>
      </c>
      <c r="C590" t="s">
        <v>76</v>
      </c>
      <c r="D590">
        <v>0.46</v>
      </c>
    </row>
    <row r="591" spans="1:4" x14ac:dyDescent="0.45">
      <c r="A591" t="s">
        <v>57</v>
      </c>
      <c r="B591">
        <v>2019</v>
      </c>
      <c r="C591" t="s">
        <v>76</v>
      </c>
      <c r="D591">
        <v>0</v>
      </c>
    </row>
    <row r="592" spans="1:4" x14ac:dyDescent="0.45">
      <c r="A592" t="s">
        <v>38</v>
      </c>
      <c r="B592">
        <v>2019</v>
      </c>
      <c r="C592" t="s">
        <v>76</v>
      </c>
      <c r="D592">
        <v>0</v>
      </c>
    </row>
    <row r="593" spans="1:4" x14ac:dyDescent="0.45">
      <c r="A593" t="s">
        <v>32</v>
      </c>
      <c r="B593">
        <v>2019</v>
      </c>
      <c r="C593" t="s">
        <v>76</v>
      </c>
      <c r="D593">
        <v>0</v>
      </c>
    </row>
    <row r="594" spans="1:4" x14ac:dyDescent="0.45">
      <c r="A594" t="s">
        <v>58</v>
      </c>
      <c r="B594">
        <v>2019</v>
      </c>
      <c r="C594" t="s">
        <v>76</v>
      </c>
      <c r="D594">
        <v>0</v>
      </c>
    </row>
    <row r="595" spans="1:4" x14ac:dyDescent="0.45">
      <c r="A595" t="s">
        <v>91</v>
      </c>
      <c r="B595">
        <v>2019</v>
      </c>
      <c r="C595" t="s">
        <v>76</v>
      </c>
      <c r="D595">
        <v>0</v>
      </c>
    </row>
    <row r="596" spans="1:4" x14ac:dyDescent="0.45">
      <c r="A596" t="s">
        <v>32</v>
      </c>
      <c r="B596">
        <v>2020</v>
      </c>
      <c r="C596" t="s">
        <v>76</v>
      </c>
      <c r="D596">
        <v>0</v>
      </c>
    </row>
    <row r="597" spans="1:4" x14ac:dyDescent="0.45">
      <c r="A597" t="s">
        <v>34</v>
      </c>
      <c r="B597">
        <v>2020</v>
      </c>
      <c r="C597" t="s">
        <v>76</v>
      </c>
      <c r="D597">
        <v>1.59</v>
      </c>
    </row>
    <row r="598" spans="1:4" x14ac:dyDescent="0.45">
      <c r="A598" t="s">
        <v>36</v>
      </c>
      <c r="B598">
        <v>2020</v>
      </c>
      <c r="C598" t="s">
        <v>76</v>
      </c>
      <c r="D598">
        <v>0.19</v>
      </c>
    </row>
    <row r="599" spans="1:4" x14ac:dyDescent="0.45">
      <c r="A599" t="s">
        <v>56</v>
      </c>
      <c r="B599">
        <v>2020</v>
      </c>
      <c r="C599" t="s">
        <v>76</v>
      </c>
      <c r="D599">
        <v>0.43</v>
      </c>
    </row>
    <row r="600" spans="1:4" x14ac:dyDescent="0.45">
      <c r="A600" t="s">
        <v>57</v>
      </c>
      <c r="B600">
        <v>2020</v>
      </c>
      <c r="C600" t="s">
        <v>76</v>
      </c>
      <c r="D600">
        <v>0</v>
      </c>
    </row>
    <row r="601" spans="1:4" x14ac:dyDescent="0.45">
      <c r="A601" t="s">
        <v>38</v>
      </c>
      <c r="B601">
        <v>2020</v>
      </c>
      <c r="C601" t="s">
        <v>76</v>
      </c>
      <c r="D601">
        <v>0</v>
      </c>
    </row>
    <row r="602" spans="1:4" x14ac:dyDescent="0.45">
      <c r="A602" t="s">
        <v>32</v>
      </c>
      <c r="B602">
        <v>2020</v>
      </c>
      <c r="C602" t="s">
        <v>76</v>
      </c>
      <c r="D602">
        <v>0</v>
      </c>
    </row>
    <row r="603" spans="1:4" x14ac:dyDescent="0.45">
      <c r="A603" t="s">
        <v>58</v>
      </c>
      <c r="B603">
        <v>2020</v>
      </c>
      <c r="C603" t="s">
        <v>76</v>
      </c>
      <c r="D603">
        <v>0</v>
      </c>
    </row>
    <row r="604" spans="1:4" x14ac:dyDescent="0.45">
      <c r="A604" t="s">
        <v>91</v>
      </c>
      <c r="B604">
        <v>2020</v>
      </c>
      <c r="C604" t="s">
        <v>76</v>
      </c>
      <c r="D604">
        <v>0</v>
      </c>
    </row>
    <row r="605" spans="1:4" x14ac:dyDescent="0.45">
      <c r="A605" t="s">
        <v>32</v>
      </c>
      <c r="B605">
        <v>2021</v>
      </c>
      <c r="C605" t="s">
        <v>76</v>
      </c>
      <c r="D605">
        <v>0</v>
      </c>
    </row>
    <row r="606" spans="1:4" x14ac:dyDescent="0.45">
      <c r="A606" t="s">
        <v>34</v>
      </c>
      <c r="B606">
        <v>2021</v>
      </c>
      <c r="C606" t="s">
        <v>76</v>
      </c>
      <c r="D606">
        <v>1.67</v>
      </c>
    </row>
    <row r="607" spans="1:4" x14ac:dyDescent="0.45">
      <c r="A607" t="s">
        <v>36</v>
      </c>
      <c r="B607">
        <v>2021</v>
      </c>
      <c r="C607" t="s">
        <v>76</v>
      </c>
      <c r="D607">
        <v>0.18</v>
      </c>
    </row>
    <row r="608" spans="1:4" x14ac:dyDescent="0.45">
      <c r="A608" t="s">
        <v>56</v>
      </c>
      <c r="B608">
        <v>2021</v>
      </c>
      <c r="C608" t="s">
        <v>76</v>
      </c>
      <c r="D608">
        <v>0.44</v>
      </c>
    </row>
    <row r="609" spans="1:4" x14ac:dyDescent="0.45">
      <c r="A609" t="s">
        <v>57</v>
      </c>
      <c r="B609">
        <v>2021</v>
      </c>
      <c r="C609" t="s">
        <v>76</v>
      </c>
      <c r="D609">
        <v>0</v>
      </c>
    </row>
    <row r="610" spans="1:4" x14ac:dyDescent="0.45">
      <c r="A610" t="s">
        <v>38</v>
      </c>
      <c r="B610">
        <v>2021</v>
      </c>
      <c r="C610" t="s">
        <v>76</v>
      </c>
      <c r="D610">
        <v>0</v>
      </c>
    </row>
    <row r="611" spans="1:4" x14ac:dyDescent="0.45">
      <c r="A611" t="s">
        <v>32</v>
      </c>
      <c r="B611">
        <v>2021</v>
      </c>
      <c r="C611" t="s">
        <v>76</v>
      </c>
      <c r="D611">
        <v>0</v>
      </c>
    </row>
    <row r="612" spans="1:4" x14ac:dyDescent="0.45">
      <c r="A612" t="s">
        <v>58</v>
      </c>
      <c r="B612">
        <v>2021</v>
      </c>
      <c r="C612" t="s">
        <v>76</v>
      </c>
      <c r="D612">
        <v>0</v>
      </c>
    </row>
    <row r="613" spans="1:4" x14ac:dyDescent="0.45">
      <c r="A613" t="s">
        <v>91</v>
      </c>
      <c r="B613">
        <v>2021</v>
      </c>
      <c r="C613" t="s">
        <v>76</v>
      </c>
      <c r="D613">
        <v>0</v>
      </c>
    </row>
    <row r="614" spans="1:4" x14ac:dyDescent="0.45">
      <c r="A614" t="s">
        <v>32</v>
      </c>
      <c r="B614">
        <v>2022</v>
      </c>
      <c r="C614" t="s">
        <v>76</v>
      </c>
      <c r="D614">
        <v>0</v>
      </c>
    </row>
    <row r="615" spans="1:4" x14ac:dyDescent="0.45">
      <c r="A615" t="s">
        <v>34</v>
      </c>
      <c r="B615">
        <v>2022</v>
      </c>
      <c r="C615" t="s">
        <v>76</v>
      </c>
      <c r="D615">
        <v>1.81</v>
      </c>
    </row>
    <row r="616" spans="1:4" x14ac:dyDescent="0.45">
      <c r="A616" t="s">
        <v>36</v>
      </c>
      <c r="B616">
        <v>2022</v>
      </c>
      <c r="C616" t="s">
        <v>76</v>
      </c>
      <c r="D616">
        <v>0.19</v>
      </c>
    </row>
    <row r="617" spans="1:4" x14ac:dyDescent="0.45">
      <c r="A617" t="s">
        <v>56</v>
      </c>
      <c r="B617">
        <v>2022</v>
      </c>
      <c r="C617" t="s">
        <v>76</v>
      </c>
      <c r="D617">
        <v>0.44</v>
      </c>
    </row>
    <row r="618" spans="1:4" x14ac:dyDescent="0.45">
      <c r="A618" t="s">
        <v>57</v>
      </c>
      <c r="B618">
        <v>2022</v>
      </c>
      <c r="C618" t="s">
        <v>76</v>
      </c>
      <c r="D618">
        <v>0</v>
      </c>
    </row>
    <row r="619" spans="1:4" x14ac:dyDescent="0.45">
      <c r="A619" t="s">
        <v>38</v>
      </c>
      <c r="B619">
        <v>2022</v>
      </c>
      <c r="C619" t="s">
        <v>76</v>
      </c>
      <c r="D619">
        <v>0</v>
      </c>
    </row>
    <row r="620" spans="1:4" x14ac:dyDescent="0.45">
      <c r="A620" t="s">
        <v>32</v>
      </c>
      <c r="B620">
        <v>2022</v>
      </c>
      <c r="C620" t="s">
        <v>76</v>
      </c>
      <c r="D620">
        <v>0</v>
      </c>
    </row>
    <row r="621" spans="1:4" x14ac:dyDescent="0.45">
      <c r="A621" t="s">
        <v>58</v>
      </c>
      <c r="B621">
        <v>2022</v>
      </c>
      <c r="C621" t="s">
        <v>76</v>
      </c>
      <c r="D621">
        <v>0</v>
      </c>
    </row>
    <row r="622" spans="1:4" x14ac:dyDescent="0.45">
      <c r="A622" t="s">
        <v>91</v>
      </c>
      <c r="B622">
        <v>2022</v>
      </c>
      <c r="C622" t="s">
        <v>76</v>
      </c>
      <c r="D622">
        <v>0</v>
      </c>
    </row>
    <row r="623" spans="1:4" x14ac:dyDescent="0.45">
      <c r="A623" t="s">
        <v>59</v>
      </c>
      <c r="B623">
        <v>2000</v>
      </c>
      <c r="C623" t="s">
        <v>74</v>
      </c>
      <c r="D623">
        <v>3.9</v>
      </c>
    </row>
    <row r="624" spans="1:4" x14ac:dyDescent="0.45">
      <c r="A624" t="s">
        <v>60</v>
      </c>
      <c r="B624">
        <v>2000</v>
      </c>
      <c r="C624" t="s">
        <v>74</v>
      </c>
      <c r="D624">
        <v>5.2</v>
      </c>
    </row>
    <row r="625" spans="1:4" x14ac:dyDescent="0.45">
      <c r="A625" t="s">
        <v>59</v>
      </c>
      <c r="B625">
        <v>2001</v>
      </c>
      <c r="C625" t="s">
        <v>74</v>
      </c>
      <c r="D625">
        <v>4</v>
      </c>
    </row>
    <row r="626" spans="1:4" x14ac:dyDescent="0.45">
      <c r="A626" t="s">
        <v>60</v>
      </c>
      <c r="B626">
        <v>2001</v>
      </c>
      <c r="C626" t="s">
        <v>74</v>
      </c>
      <c r="D626">
        <v>5.4</v>
      </c>
    </row>
    <row r="627" spans="1:4" x14ac:dyDescent="0.45">
      <c r="A627" t="s">
        <v>59</v>
      </c>
      <c r="B627">
        <v>2002</v>
      </c>
      <c r="C627" t="s">
        <v>74</v>
      </c>
      <c r="D627">
        <v>3.9</v>
      </c>
    </row>
    <row r="628" spans="1:4" x14ac:dyDescent="0.45">
      <c r="A628" t="s">
        <v>60</v>
      </c>
      <c r="B628">
        <v>2002</v>
      </c>
      <c r="C628" t="s">
        <v>74</v>
      </c>
      <c r="D628">
        <v>4.7</v>
      </c>
    </row>
    <row r="629" spans="1:4" x14ac:dyDescent="0.45">
      <c r="A629" t="s">
        <v>59</v>
      </c>
      <c r="B629">
        <v>2003</v>
      </c>
      <c r="C629" t="s">
        <v>74</v>
      </c>
      <c r="D629">
        <v>4.5999999999999996</v>
      </c>
    </row>
    <row r="630" spans="1:4" x14ac:dyDescent="0.45">
      <c r="A630" t="s">
        <v>60</v>
      </c>
      <c r="B630">
        <v>2003</v>
      </c>
      <c r="C630" t="s">
        <v>74</v>
      </c>
      <c r="D630">
        <v>4.5999999999999996</v>
      </c>
    </row>
    <row r="631" spans="1:4" x14ac:dyDescent="0.45">
      <c r="A631" t="s">
        <v>59</v>
      </c>
      <c r="B631">
        <v>2004</v>
      </c>
      <c r="C631" t="s">
        <v>74</v>
      </c>
      <c r="D631">
        <v>4.5</v>
      </c>
    </row>
    <row r="632" spans="1:4" x14ac:dyDescent="0.45">
      <c r="A632" t="s">
        <v>60</v>
      </c>
      <c r="B632">
        <v>2004</v>
      </c>
      <c r="C632" t="s">
        <v>74</v>
      </c>
      <c r="D632">
        <v>4.8</v>
      </c>
    </row>
    <row r="633" spans="1:4" x14ac:dyDescent="0.45">
      <c r="A633" t="s">
        <v>59</v>
      </c>
      <c r="B633">
        <v>2005</v>
      </c>
      <c r="C633" t="s">
        <v>74</v>
      </c>
      <c r="D633">
        <v>4.3</v>
      </c>
    </row>
    <row r="634" spans="1:4" x14ac:dyDescent="0.45">
      <c r="A634" t="s">
        <v>60</v>
      </c>
      <c r="B634">
        <v>2005</v>
      </c>
      <c r="C634" t="s">
        <v>74</v>
      </c>
      <c r="D634">
        <v>4.5</v>
      </c>
    </row>
    <row r="635" spans="1:4" x14ac:dyDescent="0.45">
      <c r="A635" t="s">
        <v>59</v>
      </c>
      <c r="B635">
        <v>2006</v>
      </c>
      <c r="C635" t="s">
        <v>74</v>
      </c>
      <c r="D635">
        <v>4.2</v>
      </c>
    </row>
    <row r="636" spans="1:4" x14ac:dyDescent="0.45">
      <c r="A636" t="s">
        <v>60</v>
      </c>
      <c r="B636">
        <v>2006</v>
      </c>
      <c r="C636" t="s">
        <v>74</v>
      </c>
      <c r="D636">
        <v>4.8</v>
      </c>
    </row>
    <row r="637" spans="1:4" x14ac:dyDescent="0.45">
      <c r="A637" t="s">
        <v>59</v>
      </c>
      <c r="B637">
        <v>2007</v>
      </c>
      <c r="C637" t="s">
        <v>74</v>
      </c>
      <c r="D637">
        <v>4.3</v>
      </c>
    </row>
    <row r="638" spans="1:4" x14ac:dyDescent="0.45">
      <c r="A638" t="s">
        <v>60</v>
      </c>
      <c r="B638">
        <v>2007</v>
      </c>
      <c r="C638" t="s">
        <v>74</v>
      </c>
      <c r="D638">
        <v>4.4000000000000004</v>
      </c>
    </row>
    <row r="639" spans="1:4" x14ac:dyDescent="0.45">
      <c r="A639" t="s">
        <v>59</v>
      </c>
      <c r="B639">
        <v>2008</v>
      </c>
      <c r="C639" t="s">
        <v>74</v>
      </c>
      <c r="D639">
        <v>4.4000000000000004</v>
      </c>
    </row>
    <row r="640" spans="1:4" x14ac:dyDescent="0.45">
      <c r="A640" t="s">
        <v>60</v>
      </c>
      <c r="B640">
        <v>2008</v>
      </c>
      <c r="C640" t="s">
        <v>74</v>
      </c>
      <c r="D640">
        <v>5.3</v>
      </c>
    </row>
    <row r="641" spans="1:4" x14ac:dyDescent="0.45">
      <c r="A641" t="s">
        <v>59</v>
      </c>
      <c r="B641">
        <v>2009</v>
      </c>
      <c r="C641" t="s">
        <v>74</v>
      </c>
      <c r="D641">
        <v>4.2</v>
      </c>
    </row>
    <row r="642" spans="1:4" x14ac:dyDescent="0.45">
      <c r="A642" t="s">
        <v>60</v>
      </c>
      <c r="B642">
        <v>2009</v>
      </c>
      <c r="C642" t="s">
        <v>74</v>
      </c>
      <c r="D642">
        <v>4.3</v>
      </c>
    </row>
    <row r="643" spans="1:4" x14ac:dyDescent="0.45">
      <c r="A643" t="s">
        <v>59</v>
      </c>
      <c r="B643">
        <v>2010</v>
      </c>
      <c r="C643" t="s">
        <v>74</v>
      </c>
      <c r="D643">
        <v>0.3</v>
      </c>
    </row>
    <row r="644" spans="1:4" x14ac:dyDescent="0.45">
      <c r="A644" t="s">
        <v>60</v>
      </c>
      <c r="B644">
        <v>2010</v>
      </c>
      <c r="C644" t="s">
        <v>74</v>
      </c>
      <c r="D644">
        <v>0.4</v>
      </c>
    </row>
    <row r="645" spans="1:4" x14ac:dyDescent="0.45">
      <c r="A645" t="s">
        <v>59</v>
      </c>
      <c r="B645">
        <v>2011</v>
      </c>
      <c r="C645" t="s">
        <v>74</v>
      </c>
      <c r="D645">
        <v>0.2</v>
      </c>
    </row>
    <row r="646" spans="1:4" x14ac:dyDescent="0.45">
      <c r="A646" t="s">
        <v>60</v>
      </c>
      <c r="B646">
        <v>2011</v>
      </c>
      <c r="C646" t="s">
        <v>74</v>
      </c>
      <c r="D646">
        <v>0.2</v>
      </c>
    </row>
    <row r="647" spans="1:4" x14ac:dyDescent="0.45">
      <c r="A647" t="s">
        <v>59</v>
      </c>
      <c r="B647">
        <v>2012</v>
      </c>
      <c r="C647" t="s">
        <v>74</v>
      </c>
      <c r="D647">
        <v>0.8</v>
      </c>
    </row>
    <row r="648" spans="1:4" x14ac:dyDescent="0.45">
      <c r="A648" t="s">
        <v>60</v>
      </c>
      <c r="B648">
        <v>2012</v>
      </c>
      <c r="C648" t="s">
        <v>74</v>
      </c>
      <c r="D648">
        <v>0.1</v>
      </c>
    </row>
    <row r="649" spans="1:4" x14ac:dyDescent="0.45">
      <c r="A649" t="s">
        <v>59</v>
      </c>
      <c r="B649">
        <v>2013</v>
      </c>
      <c r="C649" t="s">
        <v>74</v>
      </c>
      <c r="D649">
        <v>1.1000000000000001</v>
      </c>
    </row>
    <row r="650" spans="1:4" x14ac:dyDescent="0.45">
      <c r="A650" t="s">
        <v>60</v>
      </c>
      <c r="B650">
        <v>2013</v>
      </c>
      <c r="C650" t="s">
        <v>74</v>
      </c>
      <c r="D650">
        <v>0.1</v>
      </c>
    </row>
    <row r="651" spans="1:4" x14ac:dyDescent="0.45">
      <c r="A651" t="s">
        <v>59</v>
      </c>
      <c r="B651">
        <v>2014</v>
      </c>
      <c r="C651" t="s">
        <v>74</v>
      </c>
      <c r="D651">
        <v>1.4</v>
      </c>
    </row>
    <row r="652" spans="1:4" x14ac:dyDescent="0.45">
      <c r="A652" t="s">
        <v>60</v>
      </c>
      <c r="B652">
        <v>2014</v>
      </c>
      <c r="C652" t="s">
        <v>74</v>
      </c>
      <c r="D652">
        <v>0</v>
      </c>
    </row>
    <row r="653" spans="1:4" x14ac:dyDescent="0.45">
      <c r="A653" t="s">
        <v>59</v>
      </c>
      <c r="B653">
        <v>2015</v>
      </c>
      <c r="C653" t="s">
        <v>74</v>
      </c>
      <c r="D653">
        <v>1.4</v>
      </c>
    </row>
    <row r="654" spans="1:4" x14ac:dyDescent="0.45">
      <c r="A654" t="s">
        <v>60</v>
      </c>
      <c r="B654">
        <v>2015</v>
      </c>
      <c r="C654" t="s">
        <v>74</v>
      </c>
      <c r="D654">
        <v>0.1</v>
      </c>
    </row>
    <row r="655" spans="1:4" x14ac:dyDescent="0.45">
      <c r="A655" t="s">
        <v>59</v>
      </c>
      <c r="B655">
        <v>2016</v>
      </c>
      <c r="C655" t="s">
        <v>74</v>
      </c>
      <c r="D655">
        <v>1.4</v>
      </c>
    </row>
    <row r="656" spans="1:4" x14ac:dyDescent="0.45">
      <c r="A656" t="s">
        <v>60</v>
      </c>
      <c r="B656">
        <v>2016</v>
      </c>
      <c r="C656" t="s">
        <v>74</v>
      </c>
      <c r="D656">
        <v>0.1</v>
      </c>
    </row>
    <row r="657" spans="1:4" x14ac:dyDescent="0.45">
      <c r="A657" t="s">
        <v>59</v>
      </c>
      <c r="B657">
        <v>2017</v>
      </c>
      <c r="C657" t="s">
        <v>74</v>
      </c>
      <c r="D657">
        <v>1.4</v>
      </c>
    </row>
    <row r="658" spans="1:4" x14ac:dyDescent="0.45">
      <c r="A658" t="s">
        <v>60</v>
      </c>
      <c r="B658">
        <v>2017</v>
      </c>
      <c r="C658" t="s">
        <v>74</v>
      </c>
      <c r="D658">
        <v>0.1</v>
      </c>
    </row>
    <row r="659" spans="1:4" x14ac:dyDescent="0.45">
      <c r="A659" t="s">
        <v>59</v>
      </c>
      <c r="B659">
        <v>2018</v>
      </c>
      <c r="C659" t="s">
        <v>74</v>
      </c>
      <c r="D659">
        <v>2.9</v>
      </c>
    </row>
    <row r="660" spans="1:4" x14ac:dyDescent="0.45">
      <c r="A660" t="s">
        <v>60</v>
      </c>
      <c r="B660">
        <v>2018</v>
      </c>
      <c r="C660" t="s">
        <v>74</v>
      </c>
      <c r="D660">
        <v>0.6</v>
      </c>
    </row>
    <row r="661" spans="1:4" x14ac:dyDescent="0.45">
      <c r="A661" t="s">
        <v>59</v>
      </c>
      <c r="B661">
        <v>2019</v>
      </c>
      <c r="C661" t="s">
        <v>74</v>
      </c>
      <c r="D661">
        <v>3.2</v>
      </c>
    </row>
    <row r="662" spans="1:4" x14ac:dyDescent="0.45">
      <c r="A662" t="s">
        <v>60</v>
      </c>
      <c r="B662">
        <v>2019</v>
      </c>
      <c r="C662" t="s">
        <v>74</v>
      </c>
      <c r="D662">
        <v>0.3</v>
      </c>
    </row>
    <row r="663" spans="1:4" x14ac:dyDescent="0.45">
      <c r="A663" t="s">
        <v>59</v>
      </c>
      <c r="B663">
        <v>2020</v>
      </c>
      <c r="C663" t="s">
        <v>74</v>
      </c>
      <c r="D663">
        <v>1.9</v>
      </c>
    </row>
    <row r="664" spans="1:4" x14ac:dyDescent="0.45">
      <c r="A664" t="s">
        <v>60</v>
      </c>
      <c r="B664">
        <v>2020</v>
      </c>
      <c r="C664" t="s">
        <v>74</v>
      </c>
      <c r="D664">
        <v>0.4</v>
      </c>
    </row>
    <row r="665" spans="1:4" x14ac:dyDescent="0.45">
      <c r="A665" t="s">
        <v>59</v>
      </c>
      <c r="B665">
        <v>2021</v>
      </c>
      <c r="C665" t="s">
        <v>74</v>
      </c>
      <c r="D665">
        <v>3.3</v>
      </c>
    </row>
    <row r="666" spans="1:4" x14ac:dyDescent="0.45">
      <c r="A666" t="s">
        <v>60</v>
      </c>
      <c r="B666">
        <v>2021</v>
      </c>
      <c r="C666" t="s">
        <v>74</v>
      </c>
      <c r="D666">
        <v>0.9</v>
      </c>
    </row>
    <row r="667" spans="1:4" x14ac:dyDescent="0.45">
      <c r="A667" t="s">
        <v>59</v>
      </c>
      <c r="B667">
        <v>2022</v>
      </c>
      <c r="C667" t="s">
        <v>74</v>
      </c>
      <c r="D667">
        <v>3.3</v>
      </c>
    </row>
    <row r="668" spans="1:4" x14ac:dyDescent="0.45">
      <c r="A668" t="s">
        <v>60</v>
      </c>
      <c r="B668">
        <v>2022</v>
      </c>
      <c r="C668" t="s">
        <v>74</v>
      </c>
      <c r="D668">
        <v>0.8</v>
      </c>
    </row>
    <row r="669" spans="1:4" x14ac:dyDescent="0.45">
      <c r="A669" t="s">
        <v>59</v>
      </c>
      <c r="B669">
        <v>2023</v>
      </c>
      <c r="C669" t="s">
        <v>74</v>
      </c>
      <c r="D669">
        <v>3.5</v>
      </c>
    </row>
    <row r="670" spans="1:4" x14ac:dyDescent="0.45">
      <c r="A670" t="s">
        <v>60</v>
      </c>
      <c r="B670">
        <v>2023</v>
      </c>
      <c r="C670" t="s">
        <v>74</v>
      </c>
      <c r="D670">
        <v>0.9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0.11279999999999998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5.5000000000000005E-3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0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3.2999999999999995E-2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0.32900000000000001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2.75E-2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0.16919999999999999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1.1000000000000001E-2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0.68620000000000003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5.5E-2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0.2162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1.6499999999999997E-2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0.16919999999999999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1.1000000000000001E-2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0.12219999999999999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2.2000000000000002E-2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0.31019999999999998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6.5999999999999989E-2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0.27259999999999995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5.5E-2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0.12219999999999999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2.75E-2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0.64859999999999995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0.13199999999999998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0.22559999999999997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4.4000000000000004E-2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0.16919999999999999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3.2999999999999995E-2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1.8800000000000001E-2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3.2999999999999995E-2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0.25380000000000003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0.13750000000000001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0.19739999999999999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0.11549999999999999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0.10340000000000001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6.0500000000000005E-2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1.8800000000000001E-2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0.1045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0.15040000000000001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9.35E-2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4.9499999999999995E-2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6.5999999999999989E-2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0.12219999999999999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0.28599999999999998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3.85E-2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3.7600000000000001E-2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0.11549999999999999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0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4.4000000000000004E-2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9.4E-2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0.20350000000000001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2.2000000000000002E-2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0.13199999999999998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4.7E-2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0.39050000000000001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5.5E-2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9.4000000000000004E-3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0.18149999999999999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9.8999999999999991E-2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2.8199999999999996E-2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0.29700000000000004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5.5E-2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0.18149999999999999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9.4000000000000004E-3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0.47849999999999998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6.0500000000000005E-2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9.4000000000000004E-3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0.27500000000000002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0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0.1265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9.4000000000000004E-3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0.43450000000000005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0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0.22550000000000001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9.4000000000000004E-3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0.76449999999999996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6.0500000000000005E-2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0.34650000000000003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0.12100000000000001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9.4000000000000004E-3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0.74249999999999994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1.5349999999999999E-2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1.9349999999999999E-2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1.4E-2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1.3649999999999999E-2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1.525E-2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1.8250000000000002E-2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1.1599999999999999E-2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2025</v>
      </c>
      <c r="J156">
        <v>1.6E-2</v>
      </c>
      <c r="K156" t="s">
        <v>24</v>
      </c>
    </row>
    <row r="157" spans="1:12" x14ac:dyDescent="0.45">
      <c r="A157" t="s">
        <v>90</v>
      </c>
      <c r="B157" t="s">
        <v>4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2025</v>
      </c>
      <c r="J157">
        <v>1.7299999999999999E-2</v>
      </c>
      <c r="K157" t="s">
        <v>24</v>
      </c>
    </row>
    <row r="158" spans="1:12" x14ac:dyDescent="0.45">
      <c r="A158" t="s">
        <v>90</v>
      </c>
      <c r="B158" t="s">
        <v>0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2025</v>
      </c>
      <c r="J158">
        <v>1.3950000000000001E-2</v>
      </c>
      <c r="K158" t="s">
        <v>24</v>
      </c>
    </row>
    <row r="159" spans="1:12" x14ac:dyDescent="0.45">
      <c r="A159" t="s">
        <v>90</v>
      </c>
      <c r="B159" t="s">
        <v>6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2025</v>
      </c>
      <c r="J159">
        <v>1.4250000000000001E-2</v>
      </c>
      <c r="K159" t="s">
        <v>24</v>
      </c>
    </row>
    <row r="160" spans="1:12" x14ac:dyDescent="0.45">
      <c r="A160" t="s">
        <v>90</v>
      </c>
      <c r="B160" t="s">
        <v>5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2025</v>
      </c>
      <c r="J160">
        <v>2.0049999999999998E-2</v>
      </c>
      <c r="K160" t="s">
        <v>24</v>
      </c>
    </row>
    <row r="161" spans="1:11" x14ac:dyDescent="0.45">
      <c r="A161" t="s">
        <v>90</v>
      </c>
      <c r="B161" t="s">
        <v>2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2025</v>
      </c>
      <c r="J161">
        <v>1.7500000000000002E-2</v>
      </c>
      <c r="K161" t="s">
        <v>24</v>
      </c>
    </row>
    <row r="162" spans="1:11" x14ac:dyDescent="0.45">
      <c r="A162" t="s">
        <v>90</v>
      </c>
      <c r="B162" t="s">
        <v>1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2025</v>
      </c>
      <c r="J162">
        <v>1.52E-2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2030</v>
      </c>
      <c r="J163">
        <v>1.5949999999999999E-2</v>
      </c>
      <c r="K163" t="s">
        <v>24</v>
      </c>
    </row>
    <row r="164" spans="1:11" x14ac:dyDescent="0.45">
      <c r="A164" t="s">
        <v>90</v>
      </c>
      <c r="B164" t="s">
        <v>4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2030</v>
      </c>
      <c r="J164">
        <v>1.7350000000000001E-2</v>
      </c>
      <c r="K164" t="s">
        <v>24</v>
      </c>
    </row>
    <row r="165" spans="1:11" x14ac:dyDescent="0.45">
      <c r="A165" t="s">
        <v>90</v>
      </c>
      <c r="B165" t="s">
        <v>0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2030</v>
      </c>
      <c r="J165">
        <v>1.6050000000000002E-2</v>
      </c>
      <c r="K165" t="s">
        <v>24</v>
      </c>
    </row>
    <row r="166" spans="1:11" x14ac:dyDescent="0.45">
      <c r="A166" t="s">
        <v>90</v>
      </c>
      <c r="B166" t="s">
        <v>6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2030</v>
      </c>
      <c r="J166">
        <v>1.6E-2</v>
      </c>
      <c r="K166" t="s">
        <v>24</v>
      </c>
    </row>
    <row r="167" spans="1:11" x14ac:dyDescent="0.45">
      <c r="A167" t="s">
        <v>90</v>
      </c>
      <c r="B167" t="s">
        <v>5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2030</v>
      </c>
      <c r="J167">
        <v>2.0250000000000001E-2</v>
      </c>
      <c r="K167" t="s">
        <v>24</v>
      </c>
    </row>
    <row r="168" spans="1:11" x14ac:dyDescent="0.45">
      <c r="A168" t="s">
        <v>90</v>
      </c>
      <c r="B168" t="s">
        <v>2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1.7000000000000001E-2</v>
      </c>
      <c r="K168" t="s">
        <v>24</v>
      </c>
    </row>
    <row r="169" spans="1:11" x14ac:dyDescent="0.45">
      <c r="A169" t="s">
        <v>90</v>
      </c>
      <c r="B169" t="s">
        <v>1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2030</v>
      </c>
      <c r="J169">
        <v>1.6799999999999999E-2</v>
      </c>
      <c r="K169" t="s">
        <v>24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2035</v>
      </c>
      <c r="J170">
        <v>0.02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2035</v>
      </c>
      <c r="J171">
        <v>2.215E-2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2035</v>
      </c>
      <c r="J172">
        <v>1.6550000000000002E-2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2035</v>
      </c>
      <c r="J173">
        <v>2.0199999999999999E-2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2035</v>
      </c>
      <c r="J174">
        <v>2.5999999999999999E-2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2035</v>
      </c>
      <c r="J175">
        <v>2.0899999999999998E-2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2035</v>
      </c>
      <c r="J176">
        <v>2.1399999999999999E-2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2040</v>
      </c>
      <c r="J177">
        <v>2.7449999999999999E-2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2040</v>
      </c>
      <c r="J178">
        <v>2.955E-2</v>
      </c>
      <c r="K178" t="s">
        <v>24</v>
      </c>
    </row>
    <row r="179" spans="1:11" x14ac:dyDescent="0.45">
      <c r="A179" t="s">
        <v>90</v>
      </c>
      <c r="B179" t="s">
        <v>0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2040</v>
      </c>
      <c r="J179">
        <v>2.5100000000000001E-2</v>
      </c>
      <c r="K179" t="s">
        <v>24</v>
      </c>
    </row>
    <row r="180" spans="1:11" x14ac:dyDescent="0.45">
      <c r="A180" t="s">
        <v>90</v>
      </c>
      <c r="B180" t="s">
        <v>6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2040</v>
      </c>
      <c r="J180">
        <v>2.4800000000000003E-2</v>
      </c>
      <c r="K180" t="s">
        <v>24</v>
      </c>
    </row>
    <row r="181" spans="1:11" x14ac:dyDescent="0.45">
      <c r="A181" t="s">
        <v>90</v>
      </c>
      <c r="B181" t="s">
        <v>5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2040</v>
      </c>
      <c r="J181">
        <v>3.2000000000000001E-2</v>
      </c>
      <c r="K181" t="s">
        <v>24</v>
      </c>
    </row>
    <row r="182" spans="1:11" x14ac:dyDescent="0.45">
      <c r="A182" t="s">
        <v>90</v>
      </c>
      <c r="B182" t="s">
        <v>2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2040</v>
      </c>
      <c r="J182">
        <v>2.76E-2</v>
      </c>
      <c r="K182" t="s">
        <v>24</v>
      </c>
    </row>
    <row r="183" spans="1:11" x14ac:dyDescent="0.45">
      <c r="A183" t="s">
        <v>90</v>
      </c>
      <c r="B183" t="s">
        <v>1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2040</v>
      </c>
      <c r="J183">
        <v>2.9150000000000002E-2</v>
      </c>
      <c r="K183" t="s">
        <v>24</v>
      </c>
    </row>
    <row r="184" spans="1:11" x14ac:dyDescent="0.45">
      <c r="A184" t="s">
        <v>90</v>
      </c>
      <c r="B184" t="s">
        <v>3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2045</v>
      </c>
      <c r="J184">
        <v>3.7949999999999998E-2</v>
      </c>
      <c r="K184" t="s">
        <v>24</v>
      </c>
    </row>
    <row r="185" spans="1:11" x14ac:dyDescent="0.45">
      <c r="A185" t="s">
        <v>90</v>
      </c>
      <c r="B185" t="s">
        <v>4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2045</v>
      </c>
      <c r="J185">
        <v>3.8699999999999998E-2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2045</v>
      </c>
      <c r="J186">
        <v>3.9E-2</v>
      </c>
      <c r="K186" t="s">
        <v>24</v>
      </c>
    </row>
    <row r="187" spans="1:11" x14ac:dyDescent="0.45">
      <c r="A187" t="s">
        <v>90</v>
      </c>
      <c r="B187" t="s">
        <v>6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2045</v>
      </c>
      <c r="J187">
        <v>3.8800000000000001E-2</v>
      </c>
      <c r="K187" t="s">
        <v>24</v>
      </c>
    </row>
    <row r="188" spans="1:11" x14ac:dyDescent="0.45">
      <c r="A188" t="s">
        <v>90</v>
      </c>
      <c r="B188" t="s">
        <v>5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4.265E-2</v>
      </c>
      <c r="K188" t="s">
        <v>24</v>
      </c>
    </row>
    <row r="189" spans="1:11" x14ac:dyDescent="0.45">
      <c r="A189" t="s">
        <v>90</v>
      </c>
      <c r="B189" t="s">
        <v>2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2045</v>
      </c>
      <c r="J189">
        <v>3.6949999999999997E-2</v>
      </c>
      <c r="K189" t="s">
        <v>24</v>
      </c>
    </row>
    <row r="190" spans="1:11" x14ac:dyDescent="0.45">
      <c r="A190" t="s">
        <v>90</v>
      </c>
      <c r="B190" t="s">
        <v>1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2045</v>
      </c>
      <c r="J190">
        <v>4.6649999999999997E-2</v>
      </c>
      <c r="K190" t="s">
        <v>24</v>
      </c>
    </row>
    <row r="191" spans="1:11" x14ac:dyDescent="0.45">
      <c r="A191" t="s">
        <v>90</v>
      </c>
      <c r="B191" t="s">
        <v>3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2050</v>
      </c>
      <c r="J191">
        <v>5.0650000000000001E-2</v>
      </c>
      <c r="K191" t="s">
        <v>24</v>
      </c>
    </row>
    <row r="192" spans="1:11" x14ac:dyDescent="0.45">
      <c r="A192" t="s">
        <v>90</v>
      </c>
      <c r="B192" t="s">
        <v>4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2050</v>
      </c>
      <c r="J192">
        <v>4.9049999999999996E-2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2050</v>
      </c>
      <c r="J193">
        <v>5.6000000000000001E-2</v>
      </c>
      <c r="K193" t="s">
        <v>24</v>
      </c>
    </row>
    <row r="194" spans="1:11" x14ac:dyDescent="0.45">
      <c r="A194" t="s">
        <v>90</v>
      </c>
      <c r="B194" t="s">
        <v>6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2050</v>
      </c>
      <c r="J194">
        <v>5.1500000000000004E-2</v>
      </c>
      <c r="K194" t="s">
        <v>24</v>
      </c>
    </row>
    <row r="195" spans="1:11" x14ac:dyDescent="0.45">
      <c r="A195" t="s">
        <v>90</v>
      </c>
      <c r="B195" t="s">
        <v>5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2050</v>
      </c>
      <c r="J195">
        <v>5.1049999999999998E-2</v>
      </c>
      <c r="K195" t="s">
        <v>24</v>
      </c>
    </row>
    <row r="196" spans="1:11" x14ac:dyDescent="0.45">
      <c r="A196" t="s">
        <v>90</v>
      </c>
      <c r="B196" t="s">
        <v>2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2050</v>
      </c>
      <c r="J196">
        <v>4.9200000000000001E-2</v>
      </c>
      <c r="K196" t="s">
        <v>24</v>
      </c>
    </row>
    <row r="197" spans="1:11" x14ac:dyDescent="0.45">
      <c r="A197" t="s">
        <v>90</v>
      </c>
      <c r="B197" t="s">
        <v>1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2050</v>
      </c>
      <c r="J197">
        <v>6.3649999999999998E-2</v>
      </c>
      <c r="K197" t="s">
        <v>24</v>
      </c>
    </row>
    <row r="198" spans="1:11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2055</v>
      </c>
      <c r="J198">
        <v>6.5950000000000009E-2</v>
      </c>
      <c r="K198" t="s">
        <v>24</v>
      </c>
    </row>
    <row r="199" spans="1:11" x14ac:dyDescent="0.45">
      <c r="A199" t="s">
        <v>90</v>
      </c>
      <c r="B199" t="s">
        <v>4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2055</v>
      </c>
      <c r="J199">
        <v>5.8599999999999999E-2</v>
      </c>
      <c r="K199" t="s">
        <v>24</v>
      </c>
    </row>
    <row r="200" spans="1:11" x14ac:dyDescent="0.45">
      <c r="A200" t="s">
        <v>90</v>
      </c>
      <c r="B200" t="s">
        <v>0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2055</v>
      </c>
      <c r="J200">
        <v>7.4899999999999994E-2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2055</v>
      </c>
      <c r="J201">
        <v>6.5750000000000003E-2</v>
      </c>
      <c r="K201" t="s">
        <v>24</v>
      </c>
    </row>
    <row r="202" spans="1:11" x14ac:dyDescent="0.45">
      <c r="A202" t="s">
        <v>90</v>
      </c>
      <c r="B202" t="s">
        <v>5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2055</v>
      </c>
      <c r="J202">
        <v>5.8300000000000005E-2</v>
      </c>
      <c r="K202" t="s">
        <v>24</v>
      </c>
    </row>
    <row r="203" spans="1:11" x14ac:dyDescent="0.45">
      <c r="A203" t="s">
        <v>90</v>
      </c>
      <c r="B203" t="s">
        <v>2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2055</v>
      </c>
      <c r="J203">
        <v>6.25E-2</v>
      </c>
      <c r="K203" t="s">
        <v>24</v>
      </c>
    </row>
    <row r="204" spans="1:11" x14ac:dyDescent="0.45">
      <c r="A204" t="s">
        <v>90</v>
      </c>
      <c r="B204" t="s">
        <v>1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2055</v>
      </c>
      <c r="J204">
        <v>7.9949999999999993E-2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2060</v>
      </c>
      <c r="J205">
        <v>7.7899999999999997E-2</v>
      </c>
      <c r="K205" t="s">
        <v>24</v>
      </c>
    </row>
    <row r="206" spans="1:11" x14ac:dyDescent="0.45">
      <c r="A206" t="s">
        <v>90</v>
      </c>
      <c r="B206" t="s">
        <v>4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2060</v>
      </c>
      <c r="J206">
        <v>6.6799999999999998E-2</v>
      </c>
      <c r="K206" t="s">
        <v>24</v>
      </c>
    </row>
    <row r="207" spans="1:11" x14ac:dyDescent="0.45">
      <c r="A207" t="s">
        <v>90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2060</v>
      </c>
      <c r="J207">
        <v>9.1600000000000001E-2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7.9000000000000001E-2</v>
      </c>
      <c r="K208" t="s">
        <v>24</v>
      </c>
    </row>
    <row r="209" spans="1:11" x14ac:dyDescent="0.45">
      <c r="A209" t="s">
        <v>90</v>
      </c>
      <c r="B209" t="s">
        <v>5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2060</v>
      </c>
      <c r="J209">
        <v>6.3699999999999993E-2</v>
      </c>
      <c r="K209" t="s">
        <v>24</v>
      </c>
    </row>
    <row r="210" spans="1:11" x14ac:dyDescent="0.45">
      <c r="A210" t="s">
        <v>90</v>
      </c>
      <c r="B210" t="s">
        <v>2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2060</v>
      </c>
      <c r="J210">
        <v>7.3149999999999993E-2</v>
      </c>
      <c r="K210" t="s">
        <v>24</v>
      </c>
    </row>
    <row r="211" spans="1:11" x14ac:dyDescent="0.45">
      <c r="A211" t="s">
        <v>90</v>
      </c>
      <c r="B211" t="s">
        <v>1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2060</v>
      </c>
      <c r="J211">
        <v>9.425E-2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2065</v>
      </c>
      <c r="J212">
        <v>0.09</v>
      </c>
      <c r="K212" t="s">
        <v>24</v>
      </c>
    </row>
    <row r="213" spans="1:11" x14ac:dyDescent="0.45">
      <c r="A213" t="s">
        <v>90</v>
      </c>
      <c r="B213" t="s">
        <v>4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2065</v>
      </c>
      <c r="J213">
        <v>7.325000000000001E-2</v>
      </c>
      <c r="K213" t="s">
        <v>24</v>
      </c>
    </row>
    <row r="214" spans="1:11" x14ac:dyDescent="0.45">
      <c r="A214" t="s">
        <v>90</v>
      </c>
      <c r="B214" t="s">
        <v>0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2065</v>
      </c>
      <c r="J214">
        <v>0.1061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2065</v>
      </c>
      <c r="J215">
        <v>9.1350000000000001E-2</v>
      </c>
      <c r="K215" t="s">
        <v>24</v>
      </c>
    </row>
    <row r="216" spans="1:11" x14ac:dyDescent="0.45">
      <c r="A216" t="s">
        <v>90</v>
      </c>
      <c r="B216" t="s">
        <v>5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2065</v>
      </c>
      <c r="J216">
        <v>6.7900000000000002E-2</v>
      </c>
      <c r="K216" t="s">
        <v>24</v>
      </c>
    </row>
    <row r="217" spans="1:11" x14ac:dyDescent="0.45">
      <c r="A217" t="s">
        <v>90</v>
      </c>
      <c r="B217" t="s">
        <v>2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2065</v>
      </c>
      <c r="J217">
        <v>8.1900000000000001E-2</v>
      </c>
      <c r="K217" t="s">
        <v>24</v>
      </c>
    </row>
    <row r="218" spans="1:11" x14ac:dyDescent="0.45">
      <c r="A218" t="s">
        <v>90</v>
      </c>
      <c r="B218" t="s">
        <v>1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2065</v>
      </c>
      <c r="J218">
        <v>0.10755000000000001</v>
      </c>
      <c r="K218" t="s">
        <v>24</v>
      </c>
    </row>
    <row r="219" spans="1:11" x14ac:dyDescent="0.45">
      <c r="A219" t="s">
        <v>90</v>
      </c>
      <c r="B219" t="s">
        <v>3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2070</v>
      </c>
      <c r="J219">
        <v>0.10275000000000001</v>
      </c>
      <c r="K219" t="s">
        <v>24</v>
      </c>
    </row>
    <row r="220" spans="1:11" x14ac:dyDescent="0.45">
      <c r="A220" t="s">
        <v>90</v>
      </c>
      <c r="B220" t="s">
        <v>4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2070</v>
      </c>
      <c r="J220">
        <v>8.0049999999999996E-2</v>
      </c>
      <c r="K220" t="s">
        <v>24</v>
      </c>
    </row>
    <row r="221" spans="1:11" x14ac:dyDescent="0.45">
      <c r="A221" t="s">
        <v>90</v>
      </c>
      <c r="B221" t="s">
        <v>0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2070</v>
      </c>
      <c r="J221">
        <v>0.1198</v>
      </c>
      <c r="K221" t="s">
        <v>24</v>
      </c>
    </row>
    <row r="222" spans="1:11" x14ac:dyDescent="0.45">
      <c r="A222" t="s">
        <v>90</v>
      </c>
      <c r="B222" t="s">
        <v>6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2070</v>
      </c>
      <c r="J222">
        <v>0.1041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2070</v>
      </c>
      <c r="J223">
        <v>6.9500000000000006E-2</v>
      </c>
      <c r="K223" t="s">
        <v>24</v>
      </c>
    </row>
    <row r="224" spans="1:11" x14ac:dyDescent="0.45">
      <c r="A224" t="s">
        <v>90</v>
      </c>
      <c r="B224" t="s">
        <v>2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2070</v>
      </c>
      <c r="J224">
        <v>9.1049999999999992E-2</v>
      </c>
      <c r="K224" t="s">
        <v>24</v>
      </c>
    </row>
    <row r="225" spans="1:11" x14ac:dyDescent="0.45">
      <c r="A225" t="s">
        <v>90</v>
      </c>
      <c r="B225" t="s">
        <v>1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2070</v>
      </c>
      <c r="J225">
        <v>0.11985000000000001</v>
      </c>
      <c r="K225" t="s">
        <v>24</v>
      </c>
    </row>
    <row r="226" spans="1:11" x14ac:dyDescent="0.45">
      <c r="A226" t="s">
        <v>90</v>
      </c>
      <c r="B226" t="s">
        <v>3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2075</v>
      </c>
      <c r="J226">
        <v>0.1082</v>
      </c>
      <c r="K226" t="s">
        <v>24</v>
      </c>
    </row>
    <row r="227" spans="1:11" x14ac:dyDescent="0.45">
      <c r="A227" t="s">
        <v>90</v>
      </c>
      <c r="B227" t="s">
        <v>4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2075</v>
      </c>
      <c r="J227">
        <v>8.5449999999999998E-2</v>
      </c>
      <c r="K227" t="s">
        <v>24</v>
      </c>
    </row>
    <row r="228" spans="1:11" x14ac:dyDescent="0.45">
      <c r="A228" t="s">
        <v>90</v>
      </c>
      <c r="B228" t="s">
        <v>0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0.12190000000000001</v>
      </c>
      <c r="K228" t="s">
        <v>24</v>
      </c>
    </row>
    <row r="229" spans="1:11" x14ac:dyDescent="0.45">
      <c r="A229" t="s">
        <v>90</v>
      </c>
      <c r="B229" t="s">
        <v>6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2075</v>
      </c>
      <c r="J229">
        <v>0.1091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2075</v>
      </c>
      <c r="J230">
        <v>7.1300000000000002E-2</v>
      </c>
      <c r="K230" t="s">
        <v>24</v>
      </c>
    </row>
    <row r="231" spans="1:11" x14ac:dyDescent="0.45">
      <c r="A231" t="s">
        <v>90</v>
      </c>
      <c r="B231" t="s">
        <v>2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2075</v>
      </c>
      <c r="J231">
        <v>9.7549999999999998E-2</v>
      </c>
      <c r="K231" t="s">
        <v>24</v>
      </c>
    </row>
    <row r="232" spans="1:11" x14ac:dyDescent="0.45">
      <c r="A232" t="s">
        <v>90</v>
      </c>
      <c r="B232" t="s">
        <v>1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2075</v>
      </c>
      <c r="J232">
        <v>0.12440000000000001</v>
      </c>
      <c r="K232" t="s">
        <v>24</v>
      </c>
    </row>
    <row r="233" spans="1:11" x14ac:dyDescent="0.45">
      <c r="A233" t="s">
        <v>90</v>
      </c>
      <c r="B233" t="s">
        <v>3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2080</v>
      </c>
      <c r="J233">
        <v>0.11269999999999999</v>
      </c>
      <c r="K233" t="s">
        <v>24</v>
      </c>
    </row>
    <row r="234" spans="1:11" x14ac:dyDescent="0.45">
      <c r="A234" t="s">
        <v>90</v>
      </c>
      <c r="B234" t="s">
        <v>4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2080</v>
      </c>
      <c r="J234">
        <v>9.06E-2</v>
      </c>
      <c r="K234" t="s">
        <v>24</v>
      </c>
    </row>
    <row r="235" spans="1:11" x14ac:dyDescent="0.45">
      <c r="A235" t="s">
        <v>90</v>
      </c>
      <c r="B235" t="s">
        <v>0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2080</v>
      </c>
      <c r="J235">
        <v>0.12375</v>
      </c>
      <c r="K235" t="s">
        <v>24</v>
      </c>
    </row>
    <row r="236" spans="1:11" x14ac:dyDescent="0.45">
      <c r="A236" t="s">
        <v>90</v>
      </c>
      <c r="B236" t="s">
        <v>6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2080</v>
      </c>
      <c r="J236">
        <v>0.1134</v>
      </c>
      <c r="K236" t="s">
        <v>24</v>
      </c>
    </row>
    <row r="237" spans="1:11" x14ac:dyDescent="0.45">
      <c r="A237" t="s">
        <v>90</v>
      </c>
      <c r="B237" t="s">
        <v>5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2080</v>
      </c>
      <c r="J237">
        <v>7.2649999999999992E-2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2080</v>
      </c>
      <c r="J238">
        <v>0.1036</v>
      </c>
      <c r="K238" t="s">
        <v>24</v>
      </c>
    </row>
    <row r="239" spans="1:11" x14ac:dyDescent="0.45">
      <c r="A239" t="s">
        <v>90</v>
      </c>
      <c r="B239" t="s">
        <v>1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2080</v>
      </c>
      <c r="J239">
        <v>0.12859999999999999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2085</v>
      </c>
      <c r="J240">
        <v>0.11465</v>
      </c>
      <c r="K240" t="s">
        <v>24</v>
      </c>
    </row>
    <row r="241" spans="1:11" x14ac:dyDescent="0.45">
      <c r="A241" t="s">
        <v>90</v>
      </c>
      <c r="B241" t="s">
        <v>4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2085</v>
      </c>
      <c r="J241">
        <v>9.6000000000000002E-2</v>
      </c>
      <c r="K241" t="s">
        <v>24</v>
      </c>
    </row>
    <row r="242" spans="1:11" x14ac:dyDescent="0.45">
      <c r="A242" t="s">
        <v>90</v>
      </c>
      <c r="B242" t="s">
        <v>0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2085</v>
      </c>
      <c r="J242">
        <v>0.12340000000000001</v>
      </c>
      <c r="K242" t="s">
        <v>24</v>
      </c>
    </row>
    <row r="243" spans="1:11" x14ac:dyDescent="0.45">
      <c r="A243" t="s">
        <v>90</v>
      </c>
      <c r="B243" t="s">
        <v>6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2085</v>
      </c>
      <c r="J243">
        <v>0.11460000000000001</v>
      </c>
      <c r="K243" t="s">
        <v>24</v>
      </c>
    </row>
    <row r="244" spans="1:11" x14ac:dyDescent="0.45">
      <c r="A244" t="s">
        <v>90</v>
      </c>
      <c r="B244" t="s">
        <v>5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2085</v>
      </c>
      <c r="J244">
        <v>7.3200000000000001E-2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2085</v>
      </c>
      <c r="J245">
        <v>0.1048</v>
      </c>
      <c r="K245" t="s">
        <v>24</v>
      </c>
    </row>
    <row r="246" spans="1:11" x14ac:dyDescent="0.45">
      <c r="A246" t="s">
        <v>90</v>
      </c>
      <c r="B246" t="s">
        <v>1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2085</v>
      </c>
      <c r="J246">
        <v>0.128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2090</v>
      </c>
      <c r="J247">
        <v>0.11615</v>
      </c>
      <c r="K247" t="s">
        <v>24</v>
      </c>
    </row>
    <row r="248" spans="1:11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0.10114999999999999</v>
      </c>
      <c r="K248" t="s">
        <v>24</v>
      </c>
    </row>
    <row r="249" spans="1:11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2090</v>
      </c>
      <c r="J249">
        <v>0.12279999999999999</v>
      </c>
      <c r="K249" t="s">
        <v>24</v>
      </c>
    </row>
    <row r="250" spans="1:11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2090</v>
      </c>
      <c r="J250">
        <v>0.11524999999999999</v>
      </c>
      <c r="K250" t="s">
        <v>24</v>
      </c>
    </row>
    <row r="251" spans="1:11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2090</v>
      </c>
      <c r="J251">
        <v>7.3000000000000009E-2</v>
      </c>
      <c r="K251" t="s">
        <v>24</v>
      </c>
    </row>
    <row r="252" spans="1:11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2090</v>
      </c>
      <c r="J252">
        <v>0.10765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2090</v>
      </c>
      <c r="J253">
        <v>0.1268</v>
      </c>
      <c r="K253" t="s">
        <v>24</v>
      </c>
    </row>
    <row r="254" spans="1:11" x14ac:dyDescent="0.45">
      <c r="A254" t="s">
        <v>90</v>
      </c>
      <c r="B254" t="s">
        <v>3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2095</v>
      </c>
      <c r="J254">
        <v>0.12</v>
      </c>
      <c r="K254" t="s">
        <v>24</v>
      </c>
    </row>
    <row r="255" spans="1:11" x14ac:dyDescent="0.45">
      <c r="A255" t="s">
        <v>90</v>
      </c>
      <c r="B255" t="s">
        <v>4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2095</v>
      </c>
      <c r="J255">
        <v>0.10505</v>
      </c>
      <c r="K255" t="s">
        <v>24</v>
      </c>
    </row>
    <row r="256" spans="1:11" x14ac:dyDescent="0.45">
      <c r="A256" t="s">
        <v>90</v>
      </c>
      <c r="B256" t="s">
        <v>0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2095</v>
      </c>
      <c r="J256">
        <v>0.1245</v>
      </c>
      <c r="K256" t="s">
        <v>24</v>
      </c>
    </row>
    <row r="257" spans="1:11" x14ac:dyDescent="0.45">
      <c r="A257" t="s">
        <v>90</v>
      </c>
      <c r="B257" t="s">
        <v>6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2095</v>
      </c>
      <c r="J257">
        <v>0.11895</v>
      </c>
      <c r="K257" t="s">
        <v>24</v>
      </c>
    </row>
    <row r="258" spans="1:11" x14ac:dyDescent="0.45">
      <c r="A258" t="s">
        <v>90</v>
      </c>
      <c r="B258" t="s">
        <v>5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2095</v>
      </c>
      <c r="J258">
        <v>7.2450000000000001E-2</v>
      </c>
      <c r="K258" t="s">
        <v>24</v>
      </c>
    </row>
    <row r="259" spans="1:11" x14ac:dyDescent="0.45">
      <c r="A259" t="s">
        <v>90</v>
      </c>
      <c r="B259" t="s">
        <v>2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2095</v>
      </c>
      <c r="J259">
        <v>0.11169999999999999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2095</v>
      </c>
      <c r="J260">
        <v>0.12820000000000001</v>
      </c>
      <c r="K260" t="s">
        <v>24</v>
      </c>
    </row>
    <row r="261" spans="1:11" x14ac:dyDescent="0.45">
      <c r="A261" t="s">
        <v>90</v>
      </c>
      <c r="B261" t="s">
        <v>3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2100</v>
      </c>
      <c r="J261">
        <v>0.12229999999999999</v>
      </c>
      <c r="K261" t="s">
        <v>24</v>
      </c>
    </row>
    <row r="262" spans="1:11" x14ac:dyDescent="0.45">
      <c r="A262" t="s">
        <v>90</v>
      </c>
      <c r="B262" t="s">
        <v>4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2100</v>
      </c>
      <c r="J262">
        <v>0.10744999999999999</v>
      </c>
      <c r="K262" t="s">
        <v>24</v>
      </c>
    </row>
    <row r="263" spans="1:11" x14ac:dyDescent="0.45">
      <c r="A263" t="s">
        <v>90</v>
      </c>
      <c r="B263" t="s">
        <v>0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2100</v>
      </c>
      <c r="J263">
        <v>0.12445000000000001</v>
      </c>
      <c r="K263" t="s">
        <v>24</v>
      </c>
    </row>
    <row r="264" spans="1:11" x14ac:dyDescent="0.45">
      <c r="A264" t="s">
        <v>90</v>
      </c>
      <c r="B264" t="s">
        <v>6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2100</v>
      </c>
      <c r="J264">
        <v>0.12090000000000001</v>
      </c>
      <c r="K264" t="s">
        <v>24</v>
      </c>
    </row>
    <row r="265" spans="1:11" x14ac:dyDescent="0.45">
      <c r="A265" t="s">
        <v>90</v>
      </c>
      <c r="B265" t="s">
        <v>5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2100</v>
      </c>
      <c r="J265">
        <v>7.0800000000000002E-2</v>
      </c>
      <c r="K265" t="s">
        <v>24</v>
      </c>
    </row>
    <row r="266" spans="1:11" x14ac:dyDescent="0.45">
      <c r="A266" t="s">
        <v>90</v>
      </c>
      <c r="B266" t="s">
        <v>2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2100</v>
      </c>
      <c r="J266">
        <v>0.1139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0.12840000000000001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1.17E-2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1.455E-2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1.1949999999999999E-2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1.1050000000000001E-2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8.9499999999999996E-3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1.355E-2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9.6499999999999989E-3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1.3049999999999999E-2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1.465E-2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1.0699999999999999E-2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1.1849999999999999E-2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1.4E-2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1.4E-2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1.1900000000000001E-2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2030</v>
      </c>
      <c r="J282">
        <v>1.2750000000000001E-2</v>
      </c>
      <c r="K282" t="s">
        <v>28</v>
      </c>
    </row>
    <row r="283" spans="1:11" x14ac:dyDescent="0.45">
      <c r="A283" t="s">
        <v>90</v>
      </c>
      <c r="B283" t="s">
        <v>4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2030</v>
      </c>
      <c r="J283">
        <v>1.525E-2</v>
      </c>
      <c r="K283" t="s">
        <v>28</v>
      </c>
    </row>
    <row r="284" spans="1:11" x14ac:dyDescent="0.45">
      <c r="A284" t="s">
        <v>90</v>
      </c>
      <c r="B284" t="s">
        <v>0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2030</v>
      </c>
      <c r="J284">
        <v>1.3100000000000001E-2</v>
      </c>
      <c r="K284" t="s">
        <v>28</v>
      </c>
    </row>
    <row r="285" spans="1:11" x14ac:dyDescent="0.45">
      <c r="A285" t="s">
        <v>90</v>
      </c>
      <c r="B285" t="s">
        <v>6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2030</v>
      </c>
      <c r="J285">
        <v>1.3000000000000001E-2</v>
      </c>
      <c r="K285" t="s">
        <v>28</v>
      </c>
    </row>
    <row r="286" spans="1:11" x14ac:dyDescent="0.45">
      <c r="A286" t="s">
        <v>90</v>
      </c>
      <c r="B286" t="s">
        <v>5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2030</v>
      </c>
      <c r="J286">
        <v>1.5699999999999999E-2</v>
      </c>
      <c r="K286" t="s">
        <v>28</v>
      </c>
    </row>
    <row r="287" spans="1:11" x14ac:dyDescent="0.45">
      <c r="A287" t="s">
        <v>90</v>
      </c>
      <c r="B287" t="s">
        <v>2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1.4200000000000001E-2</v>
      </c>
      <c r="K287" t="s">
        <v>28</v>
      </c>
    </row>
    <row r="288" spans="1:11" x14ac:dyDescent="0.45">
      <c r="A288" t="s">
        <v>90</v>
      </c>
      <c r="B288" t="s">
        <v>1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2030</v>
      </c>
      <c r="J288">
        <v>1.175E-2</v>
      </c>
      <c r="K288" t="s">
        <v>28</v>
      </c>
    </row>
    <row r="289" spans="1:11" x14ac:dyDescent="0.45">
      <c r="A289" t="s">
        <v>90</v>
      </c>
      <c r="B289" t="s">
        <v>3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2035</v>
      </c>
      <c r="J289">
        <v>1.44E-2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2035</v>
      </c>
      <c r="J290">
        <v>1.7500000000000002E-2</v>
      </c>
      <c r="K290" t="s">
        <v>28</v>
      </c>
    </row>
    <row r="291" spans="1:11" x14ac:dyDescent="0.45">
      <c r="A291" t="s">
        <v>90</v>
      </c>
      <c r="B291" t="s">
        <v>0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2035</v>
      </c>
      <c r="J291">
        <v>1.23E-2</v>
      </c>
      <c r="K291" t="s">
        <v>28</v>
      </c>
    </row>
    <row r="292" spans="1:11" x14ac:dyDescent="0.45">
      <c r="A292" t="s">
        <v>90</v>
      </c>
      <c r="B292" t="s">
        <v>6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2035</v>
      </c>
      <c r="J292">
        <v>1.4700000000000001E-2</v>
      </c>
      <c r="K292" t="s">
        <v>28</v>
      </c>
    </row>
    <row r="293" spans="1:11" x14ac:dyDescent="0.45">
      <c r="A293" t="s">
        <v>90</v>
      </c>
      <c r="B293" t="s">
        <v>5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2035</v>
      </c>
      <c r="J293">
        <v>1.9299999999999998E-2</v>
      </c>
      <c r="K293" t="s">
        <v>28</v>
      </c>
    </row>
    <row r="294" spans="1:11" x14ac:dyDescent="0.45">
      <c r="A294" t="s">
        <v>90</v>
      </c>
      <c r="B294" t="s">
        <v>2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2035</v>
      </c>
      <c r="J294">
        <v>1.6E-2</v>
      </c>
      <c r="K294" t="s">
        <v>28</v>
      </c>
    </row>
    <row r="295" spans="1:11" x14ac:dyDescent="0.45">
      <c r="A295" t="s">
        <v>90</v>
      </c>
      <c r="B295" t="s">
        <v>1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2035</v>
      </c>
      <c r="J295">
        <v>1.3299999999999999E-2</v>
      </c>
      <c r="K295" t="s">
        <v>28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2040</v>
      </c>
      <c r="J296">
        <v>1.755E-2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2040</v>
      </c>
      <c r="J297">
        <v>2.035E-2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2040</v>
      </c>
      <c r="J298">
        <v>1.4100000000000001E-2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2040</v>
      </c>
      <c r="J299">
        <v>1.555E-2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2040</v>
      </c>
      <c r="J300">
        <v>2.3949999999999999E-2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2040</v>
      </c>
      <c r="J301">
        <v>1.84E-2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2040</v>
      </c>
      <c r="J302">
        <v>1.61E-2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2045</v>
      </c>
      <c r="J303">
        <v>2.2350000000000002E-2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2045</v>
      </c>
      <c r="J304">
        <v>2.46E-2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2045</v>
      </c>
      <c r="J305">
        <v>2.0999999999999998E-2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2045</v>
      </c>
      <c r="J306">
        <v>2.1900000000000003E-2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3.805E-2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2045</v>
      </c>
      <c r="J308">
        <v>2.2599999999999999E-2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2045</v>
      </c>
      <c r="J309">
        <v>3.0100000000000002E-2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2050</v>
      </c>
      <c r="J310">
        <v>2.9149999999999999E-2</v>
      </c>
      <c r="K310" t="s">
        <v>28</v>
      </c>
    </row>
    <row r="311" spans="1:11" x14ac:dyDescent="0.45">
      <c r="A311" t="s">
        <v>90</v>
      </c>
      <c r="B311" t="s">
        <v>4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2050</v>
      </c>
      <c r="J311">
        <v>3.065E-2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2050</v>
      </c>
      <c r="J312">
        <v>3.4750000000000003E-2</v>
      </c>
      <c r="K312" t="s">
        <v>28</v>
      </c>
    </row>
    <row r="313" spans="1:11" x14ac:dyDescent="0.45">
      <c r="A313" t="s">
        <v>90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2050</v>
      </c>
      <c r="J313">
        <v>3.075E-2</v>
      </c>
      <c r="K313" t="s">
        <v>28</v>
      </c>
    </row>
    <row r="314" spans="1:11" x14ac:dyDescent="0.45">
      <c r="A314" t="s">
        <v>90</v>
      </c>
      <c r="B314" t="s">
        <v>5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2050</v>
      </c>
      <c r="J314">
        <v>5.0199999999999995E-2</v>
      </c>
      <c r="K314" t="s">
        <v>28</v>
      </c>
    </row>
    <row r="315" spans="1:11" x14ac:dyDescent="0.45">
      <c r="A315" t="s">
        <v>90</v>
      </c>
      <c r="B315" t="s">
        <v>2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2050</v>
      </c>
      <c r="J315">
        <v>2.98E-2</v>
      </c>
      <c r="K315" t="s">
        <v>28</v>
      </c>
    </row>
    <row r="316" spans="1:11" x14ac:dyDescent="0.45">
      <c r="A316" t="s">
        <v>90</v>
      </c>
      <c r="B316" t="s">
        <v>1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4.2349999999999999E-2</v>
      </c>
      <c r="K316" t="s">
        <v>28</v>
      </c>
    </row>
    <row r="317" spans="1:11" x14ac:dyDescent="0.45">
      <c r="A317" t="s">
        <v>90</v>
      </c>
      <c r="B317" t="s">
        <v>3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2055</v>
      </c>
      <c r="J317">
        <v>3.7100000000000001E-2</v>
      </c>
      <c r="K317" t="s">
        <v>28</v>
      </c>
    </row>
    <row r="318" spans="1:11" x14ac:dyDescent="0.45">
      <c r="A318" t="s">
        <v>90</v>
      </c>
      <c r="B318" t="s">
        <v>4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2055</v>
      </c>
      <c r="J318">
        <v>3.5650000000000001E-2</v>
      </c>
      <c r="K318" t="s">
        <v>28</v>
      </c>
    </row>
    <row r="319" spans="1:11" x14ac:dyDescent="0.45">
      <c r="A319" t="s">
        <v>90</v>
      </c>
      <c r="B319" t="s">
        <v>0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2055</v>
      </c>
      <c r="J319">
        <v>4.4649999999999995E-2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2055</v>
      </c>
      <c r="J320">
        <v>3.8349999999999995E-2</v>
      </c>
      <c r="K320" t="s">
        <v>28</v>
      </c>
    </row>
    <row r="321" spans="1:11" x14ac:dyDescent="0.45">
      <c r="A321" t="s">
        <v>90</v>
      </c>
      <c r="B321" t="s">
        <v>5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2055</v>
      </c>
      <c r="J321">
        <v>5.6649999999999999E-2</v>
      </c>
      <c r="K321" t="s">
        <v>28</v>
      </c>
    </row>
    <row r="322" spans="1:11" x14ac:dyDescent="0.45">
      <c r="A322" t="s">
        <v>90</v>
      </c>
      <c r="B322" t="s">
        <v>2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2055</v>
      </c>
      <c r="J322">
        <v>3.7000000000000005E-2</v>
      </c>
      <c r="K322" t="s">
        <v>28</v>
      </c>
    </row>
    <row r="323" spans="1:11" x14ac:dyDescent="0.45">
      <c r="A323" t="s">
        <v>90</v>
      </c>
      <c r="B323" t="s">
        <v>1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2055</v>
      </c>
      <c r="J323">
        <v>4.6899999999999997E-2</v>
      </c>
      <c r="K323" t="s">
        <v>28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2060</v>
      </c>
      <c r="J324">
        <v>4.9000000000000002E-2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2060</v>
      </c>
      <c r="J325">
        <v>4.4049999999999999E-2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2060</v>
      </c>
      <c r="J326">
        <v>5.8950000000000002E-2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4.9799999999999997E-2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2060</v>
      </c>
      <c r="J328">
        <v>6.964999999999999E-2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2060</v>
      </c>
      <c r="J329">
        <v>4.5700000000000005E-2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2060</v>
      </c>
      <c r="J330">
        <v>5.8950000000000002E-2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2065</v>
      </c>
      <c r="J331">
        <v>5.8950000000000002E-2</v>
      </c>
      <c r="K331" t="s">
        <v>28</v>
      </c>
    </row>
    <row r="332" spans="1:11" x14ac:dyDescent="0.45">
      <c r="A332" t="s">
        <v>90</v>
      </c>
      <c r="B332" t="s">
        <v>4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2065</v>
      </c>
      <c r="J332">
        <v>4.9399999999999999E-2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2065</v>
      </c>
      <c r="J333">
        <v>6.989999999999999E-2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2065</v>
      </c>
      <c r="J334">
        <v>0.06</v>
      </c>
      <c r="K334" t="s">
        <v>28</v>
      </c>
    </row>
    <row r="335" spans="1:11" x14ac:dyDescent="0.45">
      <c r="A335" t="s">
        <v>90</v>
      </c>
      <c r="B335" t="s">
        <v>5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2065</v>
      </c>
      <c r="J335">
        <v>7.6399999999999996E-2</v>
      </c>
      <c r="K335" t="s">
        <v>28</v>
      </c>
    </row>
    <row r="336" spans="1:11" x14ac:dyDescent="0.45">
      <c r="A336" t="s">
        <v>90</v>
      </c>
      <c r="B336" t="s">
        <v>2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2065</v>
      </c>
      <c r="J336">
        <v>5.2250000000000005E-2</v>
      </c>
      <c r="K336" t="s">
        <v>28</v>
      </c>
    </row>
    <row r="337" spans="1:11" x14ac:dyDescent="0.45">
      <c r="A337" t="s">
        <v>90</v>
      </c>
      <c r="B337" t="s">
        <v>1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2065</v>
      </c>
      <c r="J337">
        <v>6.9450000000000012E-2</v>
      </c>
      <c r="K337" t="s">
        <v>28</v>
      </c>
    </row>
    <row r="338" spans="1:11" x14ac:dyDescent="0.45">
      <c r="A338" t="s">
        <v>90</v>
      </c>
      <c r="B338" t="s">
        <v>3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2070</v>
      </c>
      <c r="J338">
        <v>6.989999999999999E-2</v>
      </c>
      <c r="K338" t="s">
        <v>28</v>
      </c>
    </row>
    <row r="339" spans="1:11" x14ac:dyDescent="0.45">
      <c r="A339" t="s">
        <v>90</v>
      </c>
      <c r="B339" t="s">
        <v>4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2070</v>
      </c>
      <c r="J339">
        <v>5.57E-2</v>
      </c>
      <c r="K339" t="s">
        <v>28</v>
      </c>
    </row>
    <row r="340" spans="1:11" x14ac:dyDescent="0.45">
      <c r="A340" t="s">
        <v>90</v>
      </c>
      <c r="B340" t="s">
        <v>0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2070</v>
      </c>
      <c r="J340">
        <v>8.14E-2</v>
      </c>
      <c r="K340" t="s">
        <v>28</v>
      </c>
    </row>
    <row r="341" spans="1:11" x14ac:dyDescent="0.45">
      <c r="A341" t="s">
        <v>90</v>
      </c>
      <c r="B341" t="s">
        <v>6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2070</v>
      </c>
      <c r="J341">
        <v>7.1250000000000008E-2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2070</v>
      </c>
      <c r="J342">
        <v>8.3699999999999997E-2</v>
      </c>
      <c r="K342" t="s">
        <v>28</v>
      </c>
    </row>
    <row r="343" spans="1:11" x14ac:dyDescent="0.45">
      <c r="A343" t="s">
        <v>90</v>
      </c>
      <c r="B343" t="s">
        <v>2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2070</v>
      </c>
      <c r="J343">
        <v>5.96E-2</v>
      </c>
      <c r="K343" t="s">
        <v>28</v>
      </c>
    </row>
    <row r="344" spans="1:11" x14ac:dyDescent="0.45">
      <c r="A344" t="s">
        <v>90</v>
      </c>
      <c r="B344" t="s">
        <v>1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2070</v>
      </c>
      <c r="J344">
        <v>8.0449999999999994E-2</v>
      </c>
      <c r="K344" t="s">
        <v>28</v>
      </c>
    </row>
    <row r="345" spans="1:11" x14ac:dyDescent="0.45">
      <c r="A345" t="s">
        <v>90</v>
      </c>
      <c r="B345" t="s">
        <v>3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2075</v>
      </c>
      <c r="J345">
        <v>8.0250000000000002E-2</v>
      </c>
      <c r="K345" t="s">
        <v>28</v>
      </c>
    </row>
    <row r="346" spans="1:11" x14ac:dyDescent="0.45">
      <c r="A346" t="s">
        <v>90</v>
      </c>
      <c r="B346" t="s">
        <v>4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2075</v>
      </c>
      <c r="J346">
        <v>6.4500000000000002E-2</v>
      </c>
      <c r="K346" t="s">
        <v>28</v>
      </c>
    </row>
    <row r="347" spans="1:11" x14ac:dyDescent="0.45">
      <c r="A347" t="s">
        <v>90</v>
      </c>
      <c r="B347" t="s">
        <v>0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8.9900000000000008E-2</v>
      </c>
      <c r="K347" t="s">
        <v>28</v>
      </c>
    </row>
    <row r="348" spans="1:11" x14ac:dyDescent="0.45">
      <c r="A348" t="s">
        <v>90</v>
      </c>
      <c r="B348" t="s">
        <v>6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2075</v>
      </c>
      <c r="J348">
        <v>8.1000000000000003E-2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2075</v>
      </c>
      <c r="J349">
        <v>9.484999999999999E-2</v>
      </c>
      <c r="K349" t="s">
        <v>28</v>
      </c>
    </row>
    <row r="350" spans="1:11" x14ac:dyDescent="0.45">
      <c r="A350" t="s">
        <v>90</v>
      </c>
      <c r="B350" t="s">
        <v>2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2075</v>
      </c>
      <c r="J350">
        <v>7.0900000000000005E-2</v>
      </c>
      <c r="K350" t="s">
        <v>28</v>
      </c>
    </row>
    <row r="351" spans="1:11" x14ac:dyDescent="0.45">
      <c r="A351" t="s">
        <v>90</v>
      </c>
      <c r="B351" t="s">
        <v>1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2075</v>
      </c>
      <c r="J351">
        <v>9.0900000000000009E-2</v>
      </c>
      <c r="K351" t="s">
        <v>28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2080</v>
      </c>
      <c r="J352">
        <v>9.0999999999999998E-2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2080</v>
      </c>
      <c r="J353">
        <v>7.3899999999999993E-2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2080</v>
      </c>
      <c r="J354">
        <v>9.8549999999999999E-2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2080</v>
      </c>
      <c r="J355">
        <v>9.11E-2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2080</v>
      </c>
      <c r="J356">
        <v>0.10625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2080</v>
      </c>
      <c r="J357">
        <v>8.3250000000000005E-2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2080</v>
      </c>
      <c r="J358">
        <v>0.10165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2085</v>
      </c>
      <c r="J359">
        <v>9.9900000000000003E-2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2085</v>
      </c>
      <c r="J360">
        <v>8.3749999999999991E-2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2085</v>
      </c>
      <c r="J361">
        <v>0.10619999999999999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2085</v>
      </c>
      <c r="J362">
        <v>9.9250000000000005E-2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2085</v>
      </c>
      <c r="J363">
        <v>0.11605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2085</v>
      </c>
      <c r="J364">
        <v>9.1299999999999992E-2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2085</v>
      </c>
      <c r="J365">
        <v>0.10780000000000001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2090</v>
      </c>
      <c r="J366">
        <v>0.10925</v>
      </c>
      <c r="K366" t="s">
        <v>28</v>
      </c>
    </row>
    <row r="367" spans="1:11" x14ac:dyDescent="0.45">
      <c r="A367" t="s">
        <v>90</v>
      </c>
      <c r="B367" t="s">
        <v>4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9.4100000000000003E-2</v>
      </c>
      <c r="K367" t="s">
        <v>28</v>
      </c>
    </row>
    <row r="368" spans="1:11" x14ac:dyDescent="0.45">
      <c r="A368" t="s">
        <v>90</v>
      </c>
      <c r="B368" t="s">
        <v>0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2090</v>
      </c>
      <c r="J368">
        <v>0.11395</v>
      </c>
      <c r="K368" t="s">
        <v>28</v>
      </c>
    </row>
    <row r="369" spans="1:11" x14ac:dyDescent="0.45">
      <c r="A369" t="s">
        <v>90</v>
      </c>
      <c r="B369" t="s">
        <v>6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2090</v>
      </c>
      <c r="J369">
        <v>0.1076</v>
      </c>
      <c r="K369" t="s">
        <v>28</v>
      </c>
    </row>
    <row r="370" spans="1:11" x14ac:dyDescent="0.45">
      <c r="A370" t="s">
        <v>90</v>
      </c>
      <c r="B370" t="s">
        <v>5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2090</v>
      </c>
      <c r="J370">
        <v>0.12554999999999999</v>
      </c>
      <c r="K370" t="s">
        <v>28</v>
      </c>
    </row>
    <row r="371" spans="1:11" x14ac:dyDescent="0.45">
      <c r="A371" t="s">
        <v>90</v>
      </c>
      <c r="B371" t="s">
        <v>2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2090</v>
      </c>
      <c r="J371">
        <v>0.10114999999999999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2090</v>
      </c>
      <c r="J372">
        <v>0.11360000000000001</v>
      </c>
      <c r="K372" t="s">
        <v>28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2095</v>
      </c>
      <c r="J373">
        <v>0.1191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2095</v>
      </c>
      <c r="J374">
        <v>0.10235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2095</v>
      </c>
      <c r="J375">
        <v>0.12104999999999999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2095</v>
      </c>
      <c r="J376">
        <v>0.11699999999999999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2095</v>
      </c>
      <c r="J377">
        <v>0.13140000000000002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2095</v>
      </c>
      <c r="J378">
        <v>0.1109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2095</v>
      </c>
      <c r="J379">
        <v>0.12110000000000001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2100</v>
      </c>
      <c r="J380">
        <v>0.12859999999999999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2100</v>
      </c>
      <c r="J381">
        <v>0.11019999999999999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2100</v>
      </c>
      <c r="J382">
        <v>0.12769999999999998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2100</v>
      </c>
      <c r="J383">
        <v>0.12614999999999998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2100</v>
      </c>
      <c r="J384">
        <v>0.13624999999999998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2100</v>
      </c>
      <c r="J385">
        <v>0.1202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0.12840000000000001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5.0000000000000001E-4</v>
      </c>
      <c r="K387" t="s">
        <v>27</v>
      </c>
    </row>
    <row r="388" spans="1:11" x14ac:dyDescent="0.45">
      <c r="A388" t="s">
        <v>90</v>
      </c>
      <c r="B388" t="s">
        <v>4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2020</v>
      </c>
      <c r="J388">
        <v>5.4999999999999992E-4</v>
      </c>
      <c r="K388" t="s">
        <v>27</v>
      </c>
    </row>
    <row r="389" spans="1:11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2020</v>
      </c>
      <c r="J389">
        <v>4.4999999999999999E-4</v>
      </c>
      <c r="K389" t="s">
        <v>27</v>
      </c>
    </row>
    <row r="390" spans="1:11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2020</v>
      </c>
      <c r="J390">
        <v>4.0000000000000002E-4</v>
      </c>
      <c r="K390" t="s">
        <v>27</v>
      </c>
    </row>
    <row r="391" spans="1:11" x14ac:dyDescent="0.45">
      <c r="A391" t="s">
        <v>90</v>
      </c>
      <c r="B391" t="s">
        <v>5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2020</v>
      </c>
      <c r="J391">
        <v>5.0000000000000001E-4</v>
      </c>
      <c r="K391" t="s">
        <v>27</v>
      </c>
    </row>
    <row r="392" spans="1:11" x14ac:dyDescent="0.45">
      <c r="A392" t="s">
        <v>90</v>
      </c>
      <c r="B392" t="s">
        <v>2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2020</v>
      </c>
      <c r="J392">
        <v>5.0000000000000001E-4</v>
      </c>
      <c r="K392" t="s">
        <v>27</v>
      </c>
    </row>
    <row r="393" spans="1:11" x14ac:dyDescent="0.45">
      <c r="A393" t="s">
        <v>90</v>
      </c>
      <c r="B393" t="s">
        <v>1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2020</v>
      </c>
      <c r="J393">
        <v>4.0000000000000002E-4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2025</v>
      </c>
      <c r="J394">
        <v>6.9999999999999999E-4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2025</v>
      </c>
      <c r="J395">
        <v>8.9999999999999998E-4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2025</v>
      </c>
      <c r="J396">
        <v>6.4999999999999997E-4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2025</v>
      </c>
      <c r="J397">
        <v>6.9999999999999999E-4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2025</v>
      </c>
      <c r="J398">
        <v>1.1000000000000001E-3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2025</v>
      </c>
      <c r="J399">
        <v>8.0000000000000004E-4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2025</v>
      </c>
      <c r="J400">
        <v>8.0000000000000004E-4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2030</v>
      </c>
      <c r="J401">
        <v>1.4499999999999999E-3</v>
      </c>
      <c r="K401" t="s">
        <v>27</v>
      </c>
    </row>
    <row r="402" spans="1:11" x14ac:dyDescent="0.45">
      <c r="A402" t="s">
        <v>90</v>
      </c>
      <c r="B402" t="s">
        <v>4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2030</v>
      </c>
      <c r="J402">
        <v>1.6000000000000001E-3</v>
      </c>
      <c r="K402" t="s">
        <v>27</v>
      </c>
    </row>
    <row r="403" spans="1:11" x14ac:dyDescent="0.45">
      <c r="A403" t="s">
        <v>90</v>
      </c>
      <c r="B403" t="s">
        <v>0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2030</v>
      </c>
      <c r="J403">
        <v>1.2999999999999999E-3</v>
      </c>
      <c r="K403" t="s">
        <v>27</v>
      </c>
    </row>
    <row r="404" spans="1:11" x14ac:dyDescent="0.45">
      <c r="A404" t="s">
        <v>90</v>
      </c>
      <c r="B404" t="s">
        <v>6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2030</v>
      </c>
      <c r="J404">
        <v>1.2999999999999999E-3</v>
      </c>
      <c r="K404" t="s">
        <v>27</v>
      </c>
    </row>
    <row r="405" spans="1:11" x14ac:dyDescent="0.45">
      <c r="A405" t="s">
        <v>90</v>
      </c>
      <c r="B405" t="s">
        <v>5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2030</v>
      </c>
      <c r="J405">
        <v>2.0499999999999997E-3</v>
      </c>
      <c r="K405" t="s">
        <v>27</v>
      </c>
    </row>
    <row r="406" spans="1:11" x14ac:dyDescent="0.45">
      <c r="A406" t="s">
        <v>90</v>
      </c>
      <c r="B406" t="s">
        <v>2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1.5E-3</v>
      </c>
      <c r="K406" t="s">
        <v>27</v>
      </c>
    </row>
    <row r="407" spans="1:11" x14ac:dyDescent="0.45">
      <c r="A407" t="s">
        <v>90</v>
      </c>
      <c r="B407" t="s">
        <v>1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2030</v>
      </c>
      <c r="J407">
        <v>1.5E-3</v>
      </c>
      <c r="K407" t="s">
        <v>27</v>
      </c>
    </row>
    <row r="408" spans="1:11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2035</v>
      </c>
      <c r="J408">
        <v>2.3499999999999997E-3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2035</v>
      </c>
      <c r="J409">
        <v>2.65E-3</v>
      </c>
      <c r="K409" t="s">
        <v>27</v>
      </c>
    </row>
    <row r="410" spans="1:11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2035</v>
      </c>
      <c r="J410">
        <v>1.9E-3</v>
      </c>
      <c r="K410" t="s">
        <v>27</v>
      </c>
    </row>
    <row r="411" spans="1:11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2035</v>
      </c>
      <c r="J411">
        <v>2.3E-3</v>
      </c>
      <c r="K411" t="s">
        <v>27</v>
      </c>
    </row>
    <row r="412" spans="1:11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2035</v>
      </c>
      <c r="J412">
        <v>4.0000000000000001E-3</v>
      </c>
      <c r="K412" t="s">
        <v>27</v>
      </c>
    </row>
    <row r="413" spans="1:11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2035</v>
      </c>
      <c r="J413">
        <v>2.5500000000000002E-3</v>
      </c>
      <c r="K413" t="s">
        <v>27</v>
      </c>
    </row>
    <row r="414" spans="1:11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2035</v>
      </c>
      <c r="J414">
        <v>2.5999999999999999E-3</v>
      </c>
      <c r="K414" t="s">
        <v>27</v>
      </c>
    </row>
    <row r="415" spans="1:11" x14ac:dyDescent="0.45">
      <c r="A415" t="s">
        <v>90</v>
      </c>
      <c r="B415" t="s">
        <v>3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2040</v>
      </c>
      <c r="J415">
        <v>3.3E-3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2040</v>
      </c>
      <c r="J416">
        <v>3.5999999999999999E-3</v>
      </c>
      <c r="K416" t="s">
        <v>27</v>
      </c>
    </row>
    <row r="417" spans="1:11" x14ac:dyDescent="0.45">
      <c r="A417" t="s">
        <v>90</v>
      </c>
      <c r="B417" t="s">
        <v>0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2040</v>
      </c>
      <c r="J417">
        <v>3.2500000000000003E-3</v>
      </c>
      <c r="K417" t="s">
        <v>27</v>
      </c>
    </row>
    <row r="418" spans="1:11" x14ac:dyDescent="0.45">
      <c r="A418" t="s">
        <v>90</v>
      </c>
      <c r="B418" t="s">
        <v>6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2040</v>
      </c>
      <c r="J418">
        <v>3.2499999999999999E-3</v>
      </c>
      <c r="K418" t="s">
        <v>27</v>
      </c>
    </row>
    <row r="419" spans="1:11" x14ac:dyDescent="0.45">
      <c r="A419" t="s">
        <v>90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7.0499999999999998E-3</v>
      </c>
      <c r="K419" t="s">
        <v>27</v>
      </c>
    </row>
    <row r="420" spans="1:11" x14ac:dyDescent="0.45">
      <c r="A420" t="s">
        <v>90</v>
      </c>
      <c r="B420" t="s">
        <v>2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2040</v>
      </c>
      <c r="J420">
        <v>3.3999999999999998E-3</v>
      </c>
      <c r="K420" t="s">
        <v>27</v>
      </c>
    </row>
    <row r="421" spans="1:11" x14ac:dyDescent="0.45">
      <c r="A421" t="s">
        <v>90</v>
      </c>
      <c r="B421" t="s">
        <v>1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2040</v>
      </c>
      <c r="J421">
        <v>4.7000000000000002E-3</v>
      </c>
      <c r="K421" t="s">
        <v>27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4.7499999999999999E-3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4.5500000000000002E-3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5.9500000000000004E-3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5.3E-3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1.1349999999999999E-2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4.4000000000000003E-3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7.9500000000000005E-3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2050</v>
      </c>
      <c r="J429">
        <v>7.1999999999999998E-3</v>
      </c>
      <c r="K429" t="s">
        <v>27</v>
      </c>
    </row>
    <row r="430" spans="1:11" x14ac:dyDescent="0.45">
      <c r="A430" t="s">
        <v>90</v>
      </c>
      <c r="B430" t="s">
        <v>4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2050</v>
      </c>
      <c r="J430">
        <v>6.0000000000000001E-3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2050</v>
      </c>
      <c r="J431">
        <v>8.6999999999999994E-3</v>
      </c>
      <c r="K431" t="s">
        <v>27</v>
      </c>
    </row>
    <row r="432" spans="1:11" x14ac:dyDescent="0.45">
      <c r="A432" t="s">
        <v>90</v>
      </c>
      <c r="B432" t="s">
        <v>6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2050</v>
      </c>
      <c r="J432">
        <v>7.7999999999999996E-3</v>
      </c>
      <c r="K432" t="s">
        <v>27</v>
      </c>
    </row>
    <row r="433" spans="1:11" x14ac:dyDescent="0.45">
      <c r="A433" t="s">
        <v>90</v>
      </c>
      <c r="B433" t="s">
        <v>5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2050</v>
      </c>
      <c r="J433">
        <v>1.41E-2</v>
      </c>
      <c r="K433" t="s">
        <v>27</v>
      </c>
    </row>
    <row r="434" spans="1:11" x14ac:dyDescent="0.45">
      <c r="A434" t="s">
        <v>90</v>
      </c>
      <c r="B434" t="s">
        <v>2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2050</v>
      </c>
      <c r="J434">
        <v>6.0000000000000001E-3</v>
      </c>
      <c r="K434" t="s">
        <v>27</v>
      </c>
    </row>
    <row r="435" spans="1:11" x14ac:dyDescent="0.45">
      <c r="A435" t="s">
        <v>90</v>
      </c>
      <c r="B435" t="s">
        <v>1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2050</v>
      </c>
      <c r="J435">
        <v>1.12E-2</v>
      </c>
      <c r="K435" t="s">
        <v>27</v>
      </c>
    </row>
    <row r="436" spans="1:11" x14ac:dyDescent="0.45">
      <c r="A436" t="s">
        <v>90</v>
      </c>
      <c r="B436" t="s">
        <v>3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2055</v>
      </c>
      <c r="J436">
        <v>9.6499999999999989E-3</v>
      </c>
      <c r="K436" t="s">
        <v>27</v>
      </c>
    </row>
    <row r="437" spans="1:11" x14ac:dyDescent="0.45">
      <c r="A437" t="s">
        <v>90</v>
      </c>
      <c r="B437" t="s">
        <v>4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2055</v>
      </c>
      <c r="J437">
        <v>7.7499999999999999E-3</v>
      </c>
      <c r="K437" t="s">
        <v>27</v>
      </c>
    </row>
    <row r="438" spans="1:11" x14ac:dyDescent="0.45">
      <c r="A438" t="s">
        <v>90</v>
      </c>
      <c r="B438" t="s">
        <v>0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2055</v>
      </c>
      <c r="J438">
        <v>1.14E-2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2055</v>
      </c>
      <c r="J439">
        <v>0.01</v>
      </c>
      <c r="K439" t="s">
        <v>27</v>
      </c>
    </row>
    <row r="440" spans="1:11" x14ac:dyDescent="0.45">
      <c r="A440" t="s">
        <v>90</v>
      </c>
      <c r="B440" t="s">
        <v>5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2055</v>
      </c>
      <c r="J440">
        <v>1.6899999999999998E-2</v>
      </c>
      <c r="K440" t="s">
        <v>27</v>
      </c>
    </row>
    <row r="441" spans="1:11" x14ac:dyDescent="0.45">
      <c r="A441" t="s">
        <v>90</v>
      </c>
      <c r="B441" t="s">
        <v>2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2055</v>
      </c>
      <c r="J441">
        <v>8.3000000000000001E-3</v>
      </c>
      <c r="K441" t="s">
        <v>27</v>
      </c>
    </row>
    <row r="442" spans="1:11" x14ac:dyDescent="0.45">
      <c r="A442" t="s">
        <v>90</v>
      </c>
      <c r="B442" t="s">
        <v>1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2055</v>
      </c>
      <c r="J442">
        <v>1.285E-2</v>
      </c>
      <c r="K442" t="s">
        <v>27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2060</v>
      </c>
      <c r="J443">
        <v>1.18E-2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2060</v>
      </c>
      <c r="J444">
        <v>9.2499999999999995E-3</v>
      </c>
      <c r="K444" t="s">
        <v>27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2060</v>
      </c>
      <c r="J445">
        <v>1.38E-2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1.23E-2</v>
      </c>
      <c r="K446" t="s">
        <v>27</v>
      </c>
    </row>
    <row r="447" spans="1:11" x14ac:dyDescent="0.45">
      <c r="A447" t="s">
        <v>90</v>
      </c>
      <c r="B447" t="s">
        <v>5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2060</v>
      </c>
      <c r="J447">
        <v>1.9549999999999998E-2</v>
      </c>
      <c r="K447" t="s">
        <v>27</v>
      </c>
    </row>
    <row r="448" spans="1:11" x14ac:dyDescent="0.45">
      <c r="A448" t="s">
        <v>90</v>
      </c>
      <c r="B448" t="s">
        <v>2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2060</v>
      </c>
      <c r="J448">
        <v>1.035E-2</v>
      </c>
      <c r="K448" t="s">
        <v>27</v>
      </c>
    </row>
    <row r="449" spans="1:11" x14ac:dyDescent="0.45">
      <c r="A449" t="s">
        <v>90</v>
      </c>
      <c r="B449" t="s">
        <v>1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2060</v>
      </c>
      <c r="J449">
        <v>1.52E-2</v>
      </c>
      <c r="K449" t="s">
        <v>27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2065</v>
      </c>
      <c r="J450">
        <v>1.43E-2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2065</v>
      </c>
      <c r="J451">
        <v>1.085E-2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2065</v>
      </c>
      <c r="J452">
        <v>1.6449999999999999E-2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2065</v>
      </c>
      <c r="J453">
        <v>1.455E-2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2065</v>
      </c>
      <c r="J454">
        <v>2.0999999999999998E-2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2065</v>
      </c>
      <c r="J455">
        <v>1.235E-2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2065</v>
      </c>
      <c r="J456">
        <v>1.78E-2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2070</v>
      </c>
      <c r="J457">
        <v>1.7049999999999999E-2</v>
      </c>
      <c r="K457" t="s">
        <v>27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2070</v>
      </c>
      <c r="J458">
        <v>1.2549999999999999E-2</v>
      </c>
      <c r="K458" t="s">
        <v>27</v>
      </c>
    </row>
    <row r="459" spans="1:11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2070</v>
      </c>
      <c r="J459">
        <v>1.9349999999999999E-2</v>
      </c>
      <c r="K459" t="s">
        <v>27</v>
      </c>
    </row>
    <row r="460" spans="1:11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2070</v>
      </c>
      <c r="J460">
        <v>1.7000000000000001E-2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2070</v>
      </c>
      <c r="J461">
        <v>2.2800000000000001E-2</v>
      </c>
      <c r="K461" t="s">
        <v>27</v>
      </c>
    </row>
    <row r="462" spans="1:11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2070</v>
      </c>
      <c r="J462">
        <v>1.4499999999999999E-2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2070</v>
      </c>
      <c r="J463">
        <v>2.0650000000000002E-2</v>
      </c>
      <c r="K463" t="s">
        <v>27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2075</v>
      </c>
      <c r="J464">
        <v>1.95E-2</v>
      </c>
      <c r="K464" t="s">
        <v>27</v>
      </c>
    </row>
    <row r="465" spans="1:11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2075</v>
      </c>
      <c r="J465">
        <v>1.4700000000000001E-2</v>
      </c>
      <c r="K465" t="s">
        <v>27</v>
      </c>
    </row>
    <row r="466" spans="1:11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2.1299999999999999E-2</v>
      </c>
      <c r="K466" t="s">
        <v>27</v>
      </c>
    </row>
    <row r="467" spans="1:11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2075</v>
      </c>
      <c r="J467">
        <v>1.915E-2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2075</v>
      </c>
      <c r="J468">
        <v>2.5050000000000003E-2</v>
      </c>
      <c r="K468" t="s">
        <v>27</v>
      </c>
    </row>
    <row r="469" spans="1:11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2075</v>
      </c>
      <c r="J469">
        <v>1.6750000000000001E-2</v>
      </c>
      <c r="K469" t="s">
        <v>27</v>
      </c>
    </row>
    <row r="470" spans="1:11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2075</v>
      </c>
      <c r="J470">
        <v>2.2850000000000002E-2</v>
      </c>
      <c r="K470" t="s">
        <v>27</v>
      </c>
    </row>
    <row r="471" spans="1:11" x14ac:dyDescent="0.45">
      <c r="A471" t="s">
        <v>90</v>
      </c>
      <c r="B471" t="s">
        <v>3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2080</v>
      </c>
      <c r="J471">
        <v>2.2199999999999998E-2</v>
      </c>
      <c r="K471" t="s">
        <v>27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2080</v>
      </c>
      <c r="J472">
        <v>1.7149999999999999E-2</v>
      </c>
      <c r="K472" t="s">
        <v>27</v>
      </c>
    </row>
    <row r="473" spans="1:11" x14ac:dyDescent="0.45">
      <c r="A473" t="s">
        <v>90</v>
      </c>
      <c r="B473" t="s">
        <v>0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2080</v>
      </c>
      <c r="J473">
        <v>2.35E-2</v>
      </c>
      <c r="K473" t="s">
        <v>27</v>
      </c>
    </row>
    <row r="474" spans="1:11" x14ac:dyDescent="0.45">
      <c r="A474" t="s">
        <v>90</v>
      </c>
      <c r="B474" t="s">
        <v>6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2080</v>
      </c>
      <c r="J474">
        <v>2.155E-2</v>
      </c>
      <c r="K474" t="s">
        <v>27</v>
      </c>
    </row>
    <row r="475" spans="1:11" x14ac:dyDescent="0.45">
      <c r="A475" t="s">
        <v>90</v>
      </c>
      <c r="B475" t="s">
        <v>5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2080</v>
      </c>
      <c r="J475">
        <v>2.7349999999999999E-2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2080</v>
      </c>
      <c r="J476">
        <v>1.925E-2</v>
      </c>
      <c r="K476" t="s">
        <v>27</v>
      </c>
    </row>
    <row r="477" spans="1:11" x14ac:dyDescent="0.45">
      <c r="A477" t="s">
        <v>90</v>
      </c>
      <c r="B477" t="s">
        <v>1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2080</v>
      </c>
      <c r="J477">
        <v>2.5250000000000002E-2</v>
      </c>
      <c r="K477" t="s">
        <v>27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2085</v>
      </c>
      <c r="J478">
        <v>2.47E-2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2085</v>
      </c>
      <c r="J479">
        <v>1.9650000000000001E-2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2085</v>
      </c>
      <c r="J480">
        <v>2.545E-2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2085</v>
      </c>
      <c r="J481">
        <v>2.3699999999999999E-2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2085</v>
      </c>
      <c r="J482">
        <v>2.9600000000000001E-2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2085</v>
      </c>
      <c r="J483">
        <v>2.12E-2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2085</v>
      </c>
      <c r="J484">
        <v>2.7400000000000001E-2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2090</v>
      </c>
      <c r="J485">
        <v>2.7200000000000002E-2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2.2400000000000003E-2</v>
      </c>
      <c r="K486" t="s">
        <v>27</v>
      </c>
    </row>
    <row r="487" spans="1:11" x14ac:dyDescent="0.45">
      <c r="A487" t="s">
        <v>90</v>
      </c>
      <c r="B487" t="s">
        <v>0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2090</v>
      </c>
      <c r="J487">
        <v>2.7549999999999998E-2</v>
      </c>
      <c r="K487" t="s">
        <v>27</v>
      </c>
    </row>
    <row r="488" spans="1:11" x14ac:dyDescent="0.45">
      <c r="A488" t="s">
        <v>90</v>
      </c>
      <c r="B488" t="s">
        <v>6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2090</v>
      </c>
      <c r="J488">
        <v>2.6000000000000002E-2</v>
      </c>
      <c r="K488" t="s">
        <v>27</v>
      </c>
    </row>
    <row r="489" spans="1:11" x14ac:dyDescent="0.45">
      <c r="A489" t="s">
        <v>90</v>
      </c>
      <c r="B489" t="s">
        <v>5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2090</v>
      </c>
      <c r="J489">
        <v>3.1850000000000003E-2</v>
      </c>
      <c r="K489" t="s">
        <v>27</v>
      </c>
    </row>
    <row r="490" spans="1:11" x14ac:dyDescent="0.45">
      <c r="A490" t="s">
        <v>90</v>
      </c>
      <c r="B490" t="s">
        <v>2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2090</v>
      </c>
      <c r="J490">
        <v>2.4150000000000001E-2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2090</v>
      </c>
      <c r="J491">
        <v>2.9499999999999998E-2</v>
      </c>
      <c r="K491" t="s">
        <v>27</v>
      </c>
    </row>
    <row r="492" spans="1:11" x14ac:dyDescent="0.45">
      <c r="A492" t="s">
        <v>90</v>
      </c>
      <c r="B492" t="s">
        <v>3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2095</v>
      </c>
      <c r="J492">
        <v>3.075E-2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2095</v>
      </c>
      <c r="J493">
        <v>2.5500000000000002E-2</v>
      </c>
      <c r="K493" t="s">
        <v>27</v>
      </c>
    </row>
    <row r="494" spans="1:11" x14ac:dyDescent="0.45">
      <c r="A494" t="s">
        <v>90</v>
      </c>
      <c r="B494" t="s">
        <v>0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2095</v>
      </c>
      <c r="J494">
        <v>3.0499999999999999E-2</v>
      </c>
      <c r="K494" t="s">
        <v>27</v>
      </c>
    </row>
    <row r="495" spans="1:11" x14ac:dyDescent="0.45">
      <c r="A495" t="s">
        <v>90</v>
      </c>
      <c r="B495" t="s">
        <v>6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2095</v>
      </c>
      <c r="J495">
        <v>2.93E-2</v>
      </c>
      <c r="K495" t="s">
        <v>27</v>
      </c>
    </row>
    <row r="496" spans="1:11" x14ac:dyDescent="0.45">
      <c r="A496" t="s">
        <v>90</v>
      </c>
      <c r="B496" t="s">
        <v>5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2095</v>
      </c>
      <c r="J496">
        <v>3.4049999999999997E-2</v>
      </c>
      <c r="K496" t="s">
        <v>27</v>
      </c>
    </row>
    <row r="497" spans="1:12" x14ac:dyDescent="0.45">
      <c r="A497" t="s">
        <v>90</v>
      </c>
      <c r="B497" t="s">
        <v>2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2095</v>
      </c>
      <c r="J497">
        <v>2.7499999999999997E-2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2095</v>
      </c>
      <c r="J498">
        <v>3.2299999999999995E-2</v>
      </c>
      <c r="K498" t="s">
        <v>27</v>
      </c>
    </row>
    <row r="499" spans="1:12" x14ac:dyDescent="0.45">
      <c r="A499" t="s">
        <v>90</v>
      </c>
      <c r="B499" t="s">
        <v>3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2100</v>
      </c>
      <c r="J499">
        <v>3.4099999999999998E-2</v>
      </c>
      <c r="K499" t="s">
        <v>27</v>
      </c>
    </row>
    <row r="500" spans="1:12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2100</v>
      </c>
      <c r="J500">
        <v>2.8199999999999999E-2</v>
      </c>
      <c r="K500" t="s">
        <v>27</v>
      </c>
    </row>
    <row r="501" spans="1:12" x14ac:dyDescent="0.45">
      <c r="A501" t="s">
        <v>90</v>
      </c>
      <c r="B501" t="s">
        <v>0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2100</v>
      </c>
      <c r="J501">
        <v>3.3049999999999996E-2</v>
      </c>
      <c r="K501" t="s">
        <v>27</v>
      </c>
    </row>
    <row r="502" spans="1:12" x14ac:dyDescent="0.45">
      <c r="A502" t="s">
        <v>90</v>
      </c>
      <c r="B502" t="s">
        <v>6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2100</v>
      </c>
      <c r="J502">
        <v>3.2399999999999998E-2</v>
      </c>
      <c r="K502" t="s">
        <v>27</v>
      </c>
    </row>
    <row r="503" spans="1:12" x14ac:dyDescent="0.45">
      <c r="A503" t="s">
        <v>90</v>
      </c>
      <c r="B503" t="s">
        <v>5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2100</v>
      </c>
      <c r="J503">
        <v>3.56E-2</v>
      </c>
      <c r="K503" t="s">
        <v>27</v>
      </c>
    </row>
    <row r="504" spans="1:12" x14ac:dyDescent="0.45">
      <c r="A504" t="s">
        <v>90</v>
      </c>
      <c r="B504" t="s">
        <v>2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2100</v>
      </c>
      <c r="J504">
        <v>3.0550000000000001E-2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3.4850000000000006E-2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1.8E-3</v>
      </c>
      <c r="K506" t="s">
        <v>52</v>
      </c>
      <c r="L506">
        <v>94</v>
      </c>
    </row>
    <row r="507" spans="1:12" x14ac:dyDescent="0.45">
      <c r="A507" t="s">
        <v>90</v>
      </c>
      <c r="B507" t="s">
        <v>4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2020</v>
      </c>
      <c r="J507">
        <v>3.2000000000000002E-3</v>
      </c>
      <c r="K507" t="s">
        <v>52</v>
      </c>
      <c r="L507">
        <v>94</v>
      </c>
    </row>
    <row r="508" spans="1:12" x14ac:dyDescent="0.45">
      <c r="A508" t="s">
        <v>90</v>
      </c>
      <c r="B508" t="s">
        <v>0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2020</v>
      </c>
      <c r="J508">
        <v>1.5E-3</v>
      </c>
      <c r="K508" t="s">
        <v>52</v>
      </c>
      <c r="L508">
        <v>94</v>
      </c>
    </row>
    <row r="509" spans="1:12" x14ac:dyDescent="0.45">
      <c r="A509" t="s">
        <v>90</v>
      </c>
      <c r="B509" t="s">
        <v>6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2020</v>
      </c>
      <c r="J509">
        <v>1.8E-3</v>
      </c>
      <c r="K509" t="s">
        <v>52</v>
      </c>
      <c r="L509">
        <v>94</v>
      </c>
    </row>
    <row r="510" spans="1:12" x14ac:dyDescent="0.45">
      <c r="A510" t="s">
        <v>90</v>
      </c>
      <c r="B510" t="s">
        <v>5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2020</v>
      </c>
      <c r="J510">
        <v>5.4999999999999997E-3</v>
      </c>
      <c r="K510" t="s">
        <v>52</v>
      </c>
      <c r="L510">
        <v>94</v>
      </c>
    </row>
    <row r="511" spans="1:12" x14ac:dyDescent="0.45">
      <c r="A511" t="s">
        <v>90</v>
      </c>
      <c r="B511" t="s">
        <v>2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2020</v>
      </c>
      <c r="J511">
        <v>2.3E-3</v>
      </c>
      <c r="K511" t="s">
        <v>52</v>
      </c>
      <c r="L511">
        <v>94</v>
      </c>
    </row>
    <row r="512" spans="1:12" x14ac:dyDescent="0.45">
      <c r="A512" t="s">
        <v>90</v>
      </c>
      <c r="B512" t="s">
        <v>1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2020</v>
      </c>
      <c r="J512">
        <v>1.5E-3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2025</v>
      </c>
      <c r="J513">
        <v>1.2999999999999999E-3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2025</v>
      </c>
      <c r="J514">
        <v>2.7000000000000001E-3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2025</v>
      </c>
      <c r="J515">
        <v>1.1000000000000001E-3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2025</v>
      </c>
      <c r="J516">
        <v>1.2999999999999999E-3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2025</v>
      </c>
      <c r="J517">
        <v>3.5000000000000001E-3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2025</v>
      </c>
      <c r="J518">
        <v>2E-3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2025</v>
      </c>
      <c r="J519">
        <v>1.1000000000000001E-3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2030</v>
      </c>
      <c r="J520">
        <v>6.9999999999999999E-4</v>
      </c>
      <c r="K520" t="s">
        <v>52</v>
      </c>
      <c r="L520">
        <v>94</v>
      </c>
    </row>
    <row r="521" spans="1:12" x14ac:dyDescent="0.45">
      <c r="A521" t="s">
        <v>90</v>
      </c>
      <c r="B521" t="s">
        <v>4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2030</v>
      </c>
      <c r="J521">
        <v>2.3E-3</v>
      </c>
      <c r="K521" t="s">
        <v>52</v>
      </c>
      <c r="L521">
        <v>94</v>
      </c>
    </row>
    <row r="522" spans="1:12" x14ac:dyDescent="0.45">
      <c r="A522" t="s">
        <v>90</v>
      </c>
      <c r="B522" t="s">
        <v>0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2030</v>
      </c>
      <c r="J522">
        <v>6.9999999999999999E-4</v>
      </c>
      <c r="K522" t="s">
        <v>52</v>
      </c>
      <c r="L522">
        <v>94</v>
      </c>
    </row>
    <row r="523" spans="1:12" x14ac:dyDescent="0.45">
      <c r="A523" t="s">
        <v>90</v>
      </c>
      <c r="B523" t="s">
        <v>6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2030</v>
      </c>
      <c r="J523">
        <v>1.1000000000000001E-3</v>
      </c>
      <c r="K523" t="s">
        <v>52</v>
      </c>
      <c r="L523">
        <v>94</v>
      </c>
    </row>
    <row r="524" spans="1:12" x14ac:dyDescent="0.45">
      <c r="A524" t="s">
        <v>90</v>
      </c>
      <c r="B524" t="s">
        <v>5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2030</v>
      </c>
      <c r="J524">
        <v>2.5000000000000001E-3</v>
      </c>
      <c r="K524" t="s">
        <v>52</v>
      </c>
      <c r="L524">
        <v>94</v>
      </c>
    </row>
    <row r="525" spans="1:12" x14ac:dyDescent="0.45">
      <c r="A525" t="s">
        <v>90</v>
      </c>
      <c r="B525" t="s">
        <v>2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1.8E-3</v>
      </c>
      <c r="K525" t="s">
        <v>52</v>
      </c>
      <c r="L525">
        <v>94</v>
      </c>
    </row>
    <row r="526" spans="1:12" x14ac:dyDescent="0.45">
      <c r="A526" t="s">
        <v>90</v>
      </c>
      <c r="B526" t="s">
        <v>1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2030</v>
      </c>
      <c r="J526">
        <v>6.9999999999999999E-4</v>
      </c>
      <c r="K526" t="s">
        <v>52</v>
      </c>
      <c r="L526">
        <v>94</v>
      </c>
    </row>
    <row r="527" spans="1:12" x14ac:dyDescent="0.45">
      <c r="A527" t="s">
        <v>90</v>
      </c>
      <c r="B527" t="s">
        <v>3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2035</v>
      </c>
      <c r="J527">
        <v>4.0000000000000002E-4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2035</v>
      </c>
      <c r="J528">
        <v>1.9E-3</v>
      </c>
      <c r="K528" t="s">
        <v>52</v>
      </c>
      <c r="L528">
        <v>94</v>
      </c>
    </row>
    <row r="529" spans="1:12" x14ac:dyDescent="0.45">
      <c r="A529" t="s">
        <v>90</v>
      </c>
      <c r="B529" t="s">
        <v>0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2035</v>
      </c>
      <c r="J529">
        <v>4.0000000000000002E-4</v>
      </c>
      <c r="K529" t="s">
        <v>52</v>
      </c>
      <c r="L529">
        <v>94</v>
      </c>
    </row>
    <row r="530" spans="1:12" x14ac:dyDescent="0.45">
      <c r="A530" t="s">
        <v>90</v>
      </c>
      <c r="B530" t="s">
        <v>6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2035</v>
      </c>
      <c r="J530">
        <v>8.9999999999999998E-4</v>
      </c>
      <c r="K530" t="s">
        <v>52</v>
      </c>
      <c r="L530">
        <v>94</v>
      </c>
    </row>
    <row r="531" spans="1:12" x14ac:dyDescent="0.45">
      <c r="A531" t="s">
        <v>90</v>
      </c>
      <c r="B531" t="s">
        <v>5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2035</v>
      </c>
      <c r="J531">
        <v>1.5E-3</v>
      </c>
      <c r="K531" t="s">
        <v>52</v>
      </c>
      <c r="L531">
        <v>94</v>
      </c>
    </row>
    <row r="532" spans="1:12" x14ac:dyDescent="0.45">
      <c r="A532" t="s">
        <v>90</v>
      </c>
      <c r="B532" t="s">
        <v>2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2035</v>
      </c>
      <c r="J532">
        <v>1.6000000000000001E-3</v>
      </c>
      <c r="K532" t="s">
        <v>52</v>
      </c>
      <c r="L532">
        <v>94</v>
      </c>
    </row>
    <row r="533" spans="1:12" x14ac:dyDescent="0.45">
      <c r="A533" t="s">
        <v>90</v>
      </c>
      <c r="B533" t="s">
        <v>1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2035</v>
      </c>
      <c r="J533">
        <v>4.0000000000000002E-4</v>
      </c>
      <c r="K533" t="s">
        <v>52</v>
      </c>
      <c r="L533">
        <v>94</v>
      </c>
    </row>
    <row r="534" spans="1:12" x14ac:dyDescent="0.45">
      <c r="A534" t="s">
        <v>90</v>
      </c>
      <c r="B534" t="s">
        <v>3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2040</v>
      </c>
      <c r="J534">
        <v>2.9999999999999997E-4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2040</v>
      </c>
      <c r="J535">
        <v>1.5E-3</v>
      </c>
      <c r="K535" t="s">
        <v>52</v>
      </c>
      <c r="L535">
        <v>94</v>
      </c>
    </row>
    <row r="536" spans="1:12" x14ac:dyDescent="0.45">
      <c r="A536" t="s">
        <v>90</v>
      </c>
      <c r="B536" t="s">
        <v>0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2040</v>
      </c>
      <c r="J536">
        <v>5.0000000000000001E-4</v>
      </c>
      <c r="K536" t="s">
        <v>52</v>
      </c>
      <c r="L536">
        <v>94</v>
      </c>
    </row>
    <row r="537" spans="1:12" x14ac:dyDescent="0.45">
      <c r="A537" t="s">
        <v>90</v>
      </c>
      <c r="B537" t="s">
        <v>6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2040</v>
      </c>
      <c r="J537">
        <v>8.0000000000000004E-4</v>
      </c>
      <c r="K537" t="s">
        <v>52</v>
      </c>
      <c r="L537">
        <v>94</v>
      </c>
    </row>
    <row r="538" spans="1:12" x14ac:dyDescent="0.45">
      <c r="A538" t="s">
        <v>90</v>
      </c>
      <c r="B538" t="s">
        <v>5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2040</v>
      </c>
      <c r="J538">
        <v>5.9999999999999995E-4</v>
      </c>
      <c r="K538" t="s">
        <v>52</v>
      </c>
      <c r="L538">
        <v>94</v>
      </c>
    </row>
    <row r="539" spans="1:12" x14ac:dyDescent="0.45">
      <c r="A539" t="s">
        <v>90</v>
      </c>
      <c r="B539" t="s">
        <v>2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2040</v>
      </c>
      <c r="J539">
        <v>1.2999999999999999E-3</v>
      </c>
      <c r="K539" t="s">
        <v>52</v>
      </c>
      <c r="L539">
        <v>94</v>
      </c>
    </row>
    <row r="540" spans="1:12" x14ac:dyDescent="0.45">
      <c r="A540" t="s">
        <v>90</v>
      </c>
      <c r="B540" t="s">
        <v>1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2040</v>
      </c>
      <c r="J540">
        <v>2.9999999999999997E-4</v>
      </c>
      <c r="K540" t="s">
        <v>52</v>
      </c>
      <c r="L540">
        <v>94</v>
      </c>
    </row>
    <row r="541" spans="1:12" x14ac:dyDescent="0.45">
      <c r="A541" t="s">
        <v>90</v>
      </c>
      <c r="B541" t="s">
        <v>3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2045</v>
      </c>
      <c r="J541">
        <v>1E-4</v>
      </c>
      <c r="K541" t="s">
        <v>52</v>
      </c>
      <c r="L541">
        <v>94</v>
      </c>
    </row>
    <row r="542" spans="1:12" x14ac:dyDescent="0.45">
      <c r="A542" t="s">
        <v>90</v>
      </c>
      <c r="B542" t="s">
        <v>4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2045</v>
      </c>
      <c r="J542">
        <v>1.1000000000000001E-3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2045</v>
      </c>
      <c r="J543">
        <v>2.9999999999999997E-4</v>
      </c>
      <c r="K543" t="s">
        <v>52</v>
      </c>
      <c r="L543">
        <v>94</v>
      </c>
    </row>
    <row r="544" spans="1:12" x14ac:dyDescent="0.45">
      <c r="A544" t="s">
        <v>90</v>
      </c>
      <c r="B544" t="s">
        <v>6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2045</v>
      </c>
      <c r="J544">
        <v>5.9999999999999995E-4</v>
      </c>
      <c r="K544" t="s">
        <v>52</v>
      </c>
      <c r="L544">
        <v>94</v>
      </c>
    </row>
    <row r="545" spans="1:12" x14ac:dyDescent="0.45">
      <c r="A545" t="s">
        <v>90</v>
      </c>
      <c r="B545" t="s">
        <v>5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0</v>
      </c>
      <c r="K545" t="s">
        <v>52</v>
      </c>
      <c r="L545">
        <v>94</v>
      </c>
    </row>
    <row r="546" spans="1:12" x14ac:dyDescent="0.45">
      <c r="A546" t="s">
        <v>90</v>
      </c>
      <c r="B546" t="s">
        <v>2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2045</v>
      </c>
      <c r="J546">
        <v>8.0000000000000004E-4</v>
      </c>
      <c r="K546" t="s">
        <v>52</v>
      </c>
      <c r="L546">
        <v>94</v>
      </c>
    </row>
    <row r="547" spans="1:12" x14ac:dyDescent="0.45">
      <c r="A547" t="s">
        <v>90</v>
      </c>
      <c r="B547" t="s">
        <v>1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2045</v>
      </c>
      <c r="J547">
        <v>0</v>
      </c>
      <c r="K547" t="s">
        <v>52</v>
      </c>
      <c r="L547">
        <v>94</v>
      </c>
    </row>
    <row r="548" spans="1:12" x14ac:dyDescent="0.45">
      <c r="A548" t="s">
        <v>90</v>
      </c>
      <c r="B548" t="s">
        <v>3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2050</v>
      </c>
      <c r="J548">
        <v>0</v>
      </c>
      <c r="K548" t="s">
        <v>52</v>
      </c>
      <c r="L548">
        <v>94</v>
      </c>
    </row>
    <row r="549" spans="1:12" x14ac:dyDescent="0.45">
      <c r="A549" t="s">
        <v>90</v>
      </c>
      <c r="B549" t="s">
        <v>4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2050</v>
      </c>
      <c r="J549">
        <v>8.0000000000000004E-4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2050</v>
      </c>
      <c r="J550">
        <v>1E-4</v>
      </c>
      <c r="K550" t="s">
        <v>52</v>
      </c>
      <c r="L550">
        <v>94</v>
      </c>
    </row>
    <row r="551" spans="1:12" x14ac:dyDescent="0.45">
      <c r="A551" t="s">
        <v>90</v>
      </c>
      <c r="B551" t="s">
        <v>6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2050</v>
      </c>
      <c r="J551">
        <v>2.0000000000000001E-4</v>
      </c>
      <c r="K551" t="s">
        <v>52</v>
      </c>
      <c r="L551">
        <v>94</v>
      </c>
    </row>
    <row r="552" spans="1:12" x14ac:dyDescent="0.45">
      <c r="A552" t="s">
        <v>90</v>
      </c>
      <c r="B552" t="s">
        <v>5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2050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2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2050</v>
      </c>
      <c r="J553">
        <v>4.0000000000000002E-4</v>
      </c>
      <c r="K553" t="s">
        <v>52</v>
      </c>
      <c r="L553">
        <v>94</v>
      </c>
    </row>
    <row r="554" spans="1:12" x14ac:dyDescent="0.45">
      <c r="A554" t="s">
        <v>90</v>
      </c>
      <c r="B554" t="s">
        <v>1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2050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3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2055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4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2055</v>
      </c>
      <c r="J556">
        <v>5.9999999999999995E-4</v>
      </c>
      <c r="K556" t="s">
        <v>52</v>
      </c>
      <c r="L556">
        <v>94</v>
      </c>
    </row>
    <row r="557" spans="1:12" x14ac:dyDescent="0.45">
      <c r="A557" t="s">
        <v>90</v>
      </c>
      <c r="B557" t="s">
        <v>0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2055</v>
      </c>
      <c r="J557">
        <v>0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2055</v>
      </c>
      <c r="J558">
        <v>0</v>
      </c>
      <c r="K558" t="s">
        <v>52</v>
      </c>
      <c r="L558">
        <v>94</v>
      </c>
    </row>
    <row r="559" spans="1:12" x14ac:dyDescent="0.45">
      <c r="A559" t="s">
        <v>90</v>
      </c>
      <c r="B559" t="s">
        <v>5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2055</v>
      </c>
      <c r="J559">
        <v>0</v>
      </c>
      <c r="K559" t="s">
        <v>52</v>
      </c>
      <c r="L559">
        <v>94</v>
      </c>
    </row>
    <row r="560" spans="1:12" x14ac:dyDescent="0.45">
      <c r="A560" t="s">
        <v>90</v>
      </c>
      <c r="B560" t="s">
        <v>2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2055</v>
      </c>
      <c r="J560">
        <v>2.0000000000000001E-4</v>
      </c>
      <c r="K560" t="s">
        <v>52</v>
      </c>
      <c r="L560">
        <v>94</v>
      </c>
    </row>
    <row r="561" spans="1:12" x14ac:dyDescent="0.45">
      <c r="A561" t="s">
        <v>90</v>
      </c>
      <c r="B561" t="s">
        <v>1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2055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3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2060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2060</v>
      </c>
      <c r="J563">
        <v>2.9999999999999997E-4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2060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2060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2060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2060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2065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2065</v>
      </c>
      <c r="J570">
        <v>2.0000000000000001E-4</v>
      </c>
      <c r="K570" t="s">
        <v>52</v>
      </c>
      <c r="L570">
        <v>94</v>
      </c>
    </row>
    <row r="571" spans="1:12" x14ac:dyDescent="0.45">
      <c r="A571" t="s">
        <v>90</v>
      </c>
      <c r="B571" t="s">
        <v>0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2065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2065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5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2065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2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2065</v>
      </c>
      <c r="J574">
        <v>0</v>
      </c>
      <c r="K574" t="s">
        <v>52</v>
      </c>
      <c r="L574">
        <v>94</v>
      </c>
    </row>
    <row r="575" spans="1:12" x14ac:dyDescent="0.45">
      <c r="A575" t="s">
        <v>90</v>
      </c>
      <c r="B575" t="s">
        <v>1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2065</v>
      </c>
      <c r="J575">
        <v>0</v>
      </c>
      <c r="K575" t="s">
        <v>52</v>
      </c>
      <c r="L575">
        <v>94</v>
      </c>
    </row>
    <row r="576" spans="1:12" x14ac:dyDescent="0.45">
      <c r="A576" t="s">
        <v>90</v>
      </c>
      <c r="B576" t="s">
        <v>3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2070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2070</v>
      </c>
      <c r="J577">
        <v>0</v>
      </c>
      <c r="K577" t="s">
        <v>52</v>
      </c>
      <c r="L577">
        <v>94</v>
      </c>
    </row>
    <row r="578" spans="1:12" x14ac:dyDescent="0.45">
      <c r="A578" t="s">
        <v>90</v>
      </c>
      <c r="B578" t="s">
        <v>0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2070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6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2070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2070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2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2070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1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2070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3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2075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4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2075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0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6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2075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2075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2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2075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1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2075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3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2080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4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2080</v>
      </c>
      <c r="J591">
        <v>0</v>
      </c>
      <c r="K591" t="s">
        <v>52</v>
      </c>
      <c r="L591">
        <v>94</v>
      </c>
    </row>
    <row r="592" spans="1:12" x14ac:dyDescent="0.45">
      <c r="A592" t="s">
        <v>90</v>
      </c>
      <c r="B592" t="s">
        <v>0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2080</v>
      </c>
      <c r="J592">
        <v>0</v>
      </c>
      <c r="K592" t="s">
        <v>52</v>
      </c>
      <c r="L592">
        <v>94</v>
      </c>
    </row>
    <row r="593" spans="1:12" x14ac:dyDescent="0.45">
      <c r="A593" t="s">
        <v>90</v>
      </c>
      <c r="B593" t="s">
        <v>6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2080</v>
      </c>
      <c r="J593">
        <v>0</v>
      </c>
      <c r="K593" t="s">
        <v>52</v>
      </c>
      <c r="L593">
        <v>94</v>
      </c>
    </row>
    <row r="594" spans="1:12" x14ac:dyDescent="0.45">
      <c r="A594" t="s">
        <v>90</v>
      </c>
      <c r="B594" t="s">
        <v>5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2080</v>
      </c>
      <c r="J594">
        <v>0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2080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1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2080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3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2085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4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2085</v>
      </c>
      <c r="J598">
        <v>0</v>
      </c>
      <c r="K598" t="s">
        <v>52</v>
      </c>
      <c r="L598">
        <v>94</v>
      </c>
    </row>
    <row r="599" spans="1:12" x14ac:dyDescent="0.45">
      <c r="A599" t="s">
        <v>90</v>
      </c>
      <c r="B599" t="s">
        <v>0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2085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6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2085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5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2085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2085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1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2085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3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2090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4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5.0000000000000002E-5</v>
      </c>
      <c r="K605" t="s">
        <v>52</v>
      </c>
      <c r="L605">
        <v>94</v>
      </c>
    </row>
    <row r="606" spans="1:12" x14ac:dyDescent="0.45">
      <c r="A606" t="s">
        <v>90</v>
      </c>
      <c r="B606" t="s">
        <v>0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2090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6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2090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5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2090</v>
      </c>
      <c r="J608">
        <v>0</v>
      </c>
      <c r="K608" t="s">
        <v>52</v>
      </c>
      <c r="L608">
        <v>94</v>
      </c>
    </row>
    <row r="609" spans="1:12" x14ac:dyDescent="0.45">
      <c r="A609" t="s">
        <v>90</v>
      </c>
      <c r="B609" t="s">
        <v>2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2090</v>
      </c>
      <c r="J609">
        <v>0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2090</v>
      </c>
      <c r="J610">
        <v>0</v>
      </c>
      <c r="K610" t="s">
        <v>52</v>
      </c>
      <c r="L610">
        <v>94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2095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2095</v>
      </c>
      <c r="J612">
        <v>1.9999999999999998E-4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2095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2095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2095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2095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2095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2100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4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2100</v>
      </c>
      <c r="J619">
        <v>3.0000000000000003E-4</v>
      </c>
      <c r="K619" t="s">
        <v>52</v>
      </c>
      <c r="L619">
        <v>94</v>
      </c>
    </row>
    <row r="620" spans="1:12" x14ac:dyDescent="0.45">
      <c r="A620" t="s">
        <v>90</v>
      </c>
      <c r="B620" t="s">
        <v>0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2100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6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2100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5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2100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2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2100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4.0000000000000002E-4</v>
      </c>
      <c r="K625" t="s">
        <v>53</v>
      </c>
      <c r="L625">
        <v>55</v>
      </c>
    </row>
    <row r="626" spans="1:12" x14ac:dyDescent="0.45">
      <c r="A626" t="s">
        <v>90</v>
      </c>
      <c r="B626" t="s">
        <v>4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2020</v>
      </c>
      <c r="J626">
        <v>6.9999999999999999E-4</v>
      </c>
      <c r="K626" t="s">
        <v>53</v>
      </c>
      <c r="L626">
        <v>55</v>
      </c>
    </row>
    <row r="627" spans="1:12" x14ac:dyDescent="0.45">
      <c r="A627" t="s">
        <v>90</v>
      </c>
      <c r="B627" t="s">
        <v>0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2020</v>
      </c>
      <c r="J627">
        <v>2.9999999999999997E-4</v>
      </c>
      <c r="K627" t="s">
        <v>53</v>
      </c>
      <c r="L627">
        <v>55</v>
      </c>
    </row>
    <row r="628" spans="1:12" x14ac:dyDescent="0.45">
      <c r="A628" t="s">
        <v>90</v>
      </c>
      <c r="B628" t="s">
        <v>6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2020</v>
      </c>
      <c r="J628">
        <v>4.0000000000000002E-4</v>
      </c>
      <c r="K628" t="s">
        <v>53</v>
      </c>
      <c r="L628">
        <v>55</v>
      </c>
    </row>
    <row r="629" spans="1:12" x14ac:dyDescent="0.45">
      <c r="A629" t="s">
        <v>90</v>
      </c>
      <c r="B629" t="s">
        <v>5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2020</v>
      </c>
      <c r="J629">
        <v>1.2999999999999999E-3</v>
      </c>
      <c r="K629" t="s">
        <v>53</v>
      </c>
      <c r="L629">
        <v>55</v>
      </c>
    </row>
    <row r="630" spans="1:12" x14ac:dyDescent="0.45">
      <c r="A630" t="s">
        <v>90</v>
      </c>
      <c r="B630" t="s">
        <v>2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2020</v>
      </c>
      <c r="J630">
        <v>5.0000000000000001E-4</v>
      </c>
      <c r="K630" t="s">
        <v>53</v>
      </c>
      <c r="L630">
        <v>55</v>
      </c>
    </row>
    <row r="631" spans="1:12" x14ac:dyDescent="0.45">
      <c r="A631" t="s">
        <v>90</v>
      </c>
      <c r="B631" t="s">
        <v>1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2020</v>
      </c>
      <c r="J631">
        <v>2.9999999999999997E-4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2025</v>
      </c>
      <c r="J632">
        <v>6.9999999999999999E-4</v>
      </c>
      <c r="K632" t="s">
        <v>53</v>
      </c>
      <c r="L632">
        <v>55</v>
      </c>
    </row>
    <row r="633" spans="1:12" x14ac:dyDescent="0.45">
      <c r="A633" t="s">
        <v>90</v>
      </c>
      <c r="B633" t="s">
        <v>4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2025</v>
      </c>
      <c r="J633">
        <v>1.5E-3</v>
      </c>
      <c r="K633" t="s">
        <v>53</v>
      </c>
      <c r="L633">
        <v>55</v>
      </c>
    </row>
    <row r="634" spans="1:12" x14ac:dyDescent="0.45">
      <c r="A634" t="s">
        <v>90</v>
      </c>
      <c r="B634" t="s">
        <v>0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2025</v>
      </c>
      <c r="J634">
        <v>5.0000000000000001E-4</v>
      </c>
      <c r="K634" t="s">
        <v>53</v>
      </c>
      <c r="L634">
        <v>55</v>
      </c>
    </row>
    <row r="635" spans="1:12" x14ac:dyDescent="0.45">
      <c r="A635" t="s">
        <v>90</v>
      </c>
      <c r="B635" t="s">
        <v>6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2025</v>
      </c>
      <c r="J635">
        <v>6.9999999999999999E-4</v>
      </c>
      <c r="K635" t="s">
        <v>53</v>
      </c>
      <c r="L635">
        <v>55</v>
      </c>
    </row>
    <row r="636" spans="1:12" x14ac:dyDescent="0.45">
      <c r="A636" t="s">
        <v>90</v>
      </c>
      <c r="B636" t="s">
        <v>5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2025</v>
      </c>
      <c r="J636">
        <v>2E-3</v>
      </c>
      <c r="K636" t="s">
        <v>53</v>
      </c>
      <c r="L636">
        <v>55</v>
      </c>
    </row>
    <row r="637" spans="1:12" x14ac:dyDescent="0.45">
      <c r="A637" t="s">
        <v>90</v>
      </c>
      <c r="B637" t="s">
        <v>2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2025</v>
      </c>
      <c r="J637">
        <v>1.1000000000000001E-3</v>
      </c>
      <c r="K637" t="s">
        <v>53</v>
      </c>
      <c r="L637">
        <v>55</v>
      </c>
    </row>
    <row r="638" spans="1:12" x14ac:dyDescent="0.45">
      <c r="A638" t="s">
        <v>90</v>
      </c>
      <c r="B638" t="s">
        <v>1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2025</v>
      </c>
      <c r="J638">
        <v>5.9999999999999995E-4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2030</v>
      </c>
      <c r="J639">
        <v>1E-3</v>
      </c>
      <c r="K639" t="s">
        <v>53</v>
      </c>
      <c r="L639">
        <v>55</v>
      </c>
    </row>
    <row r="640" spans="1:12" x14ac:dyDescent="0.45">
      <c r="A640" t="s">
        <v>90</v>
      </c>
      <c r="B640" t="s">
        <v>4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2030</v>
      </c>
      <c r="J640">
        <v>3.0000000000000001E-3</v>
      </c>
      <c r="K640" t="s">
        <v>53</v>
      </c>
      <c r="L640">
        <v>55</v>
      </c>
    </row>
    <row r="641" spans="1:12" x14ac:dyDescent="0.45">
      <c r="A641" t="s">
        <v>90</v>
      </c>
      <c r="B641" t="s">
        <v>0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2030</v>
      </c>
      <c r="J641">
        <v>8.9999999999999998E-4</v>
      </c>
      <c r="K641" t="s">
        <v>53</v>
      </c>
      <c r="L641">
        <v>55</v>
      </c>
    </row>
    <row r="642" spans="1:12" x14ac:dyDescent="0.45">
      <c r="A642" t="s">
        <v>90</v>
      </c>
      <c r="B642" t="s">
        <v>6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2030</v>
      </c>
      <c r="J642">
        <v>1.2999999999999999E-3</v>
      </c>
      <c r="K642" t="s">
        <v>53</v>
      </c>
      <c r="L642">
        <v>55</v>
      </c>
    </row>
    <row r="643" spans="1:12" x14ac:dyDescent="0.45">
      <c r="A643" t="s">
        <v>90</v>
      </c>
      <c r="B643" t="s">
        <v>5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2030</v>
      </c>
      <c r="J643">
        <v>2.3E-3</v>
      </c>
      <c r="K643" t="s">
        <v>53</v>
      </c>
      <c r="L643">
        <v>55</v>
      </c>
    </row>
    <row r="644" spans="1:12" x14ac:dyDescent="0.45">
      <c r="A644" t="s">
        <v>90</v>
      </c>
      <c r="B644" t="s">
        <v>2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2.0999999999999999E-3</v>
      </c>
      <c r="K644" t="s">
        <v>53</v>
      </c>
      <c r="L644">
        <v>55</v>
      </c>
    </row>
    <row r="645" spans="1:12" x14ac:dyDescent="0.45">
      <c r="A645" t="s">
        <v>90</v>
      </c>
      <c r="B645" t="s">
        <v>1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2030</v>
      </c>
      <c r="J645">
        <v>6.9999999999999999E-4</v>
      </c>
      <c r="K645" t="s">
        <v>53</v>
      </c>
      <c r="L645">
        <v>55</v>
      </c>
    </row>
    <row r="646" spans="1:12" x14ac:dyDescent="0.45">
      <c r="A646" t="s">
        <v>90</v>
      </c>
      <c r="B646" t="s">
        <v>3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2035</v>
      </c>
      <c r="J646">
        <v>1.6000000000000001E-3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2035</v>
      </c>
      <c r="J647">
        <v>5.5999999999999999E-3</v>
      </c>
      <c r="K647" t="s">
        <v>53</v>
      </c>
      <c r="L647">
        <v>55</v>
      </c>
    </row>
    <row r="648" spans="1:12" x14ac:dyDescent="0.45">
      <c r="A648" t="s">
        <v>90</v>
      </c>
      <c r="B648" t="s">
        <v>0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2035</v>
      </c>
      <c r="J648">
        <v>1.2999999999999999E-3</v>
      </c>
      <c r="K648" t="s">
        <v>53</v>
      </c>
      <c r="L648">
        <v>55</v>
      </c>
    </row>
    <row r="649" spans="1:12" x14ac:dyDescent="0.45">
      <c r="A649" t="s">
        <v>90</v>
      </c>
      <c r="B649" t="s">
        <v>6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2035</v>
      </c>
      <c r="J649">
        <v>2.5000000000000001E-3</v>
      </c>
      <c r="K649" t="s">
        <v>53</v>
      </c>
      <c r="L649">
        <v>55</v>
      </c>
    </row>
    <row r="650" spans="1:12" x14ac:dyDescent="0.45">
      <c r="A650" t="s">
        <v>90</v>
      </c>
      <c r="B650" t="s">
        <v>5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2035</v>
      </c>
      <c r="J650">
        <v>2.3E-3</v>
      </c>
      <c r="K650" t="s">
        <v>53</v>
      </c>
      <c r="L650">
        <v>55</v>
      </c>
    </row>
    <row r="651" spans="1:12" x14ac:dyDescent="0.45">
      <c r="A651" t="s">
        <v>90</v>
      </c>
      <c r="B651" t="s">
        <v>2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2035</v>
      </c>
      <c r="J651">
        <v>3.7000000000000002E-3</v>
      </c>
      <c r="K651" t="s">
        <v>53</v>
      </c>
      <c r="L651">
        <v>55</v>
      </c>
    </row>
    <row r="652" spans="1:12" x14ac:dyDescent="0.45">
      <c r="A652" t="s">
        <v>90</v>
      </c>
      <c r="B652" t="s">
        <v>1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2035</v>
      </c>
      <c r="J652">
        <v>5.0000000000000001E-4</v>
      </c>
      <c r="K652" t="s">
        <v>53</v>
      </c>
      <c r="L652">
        <v>55</v>
      </c>
    </row>
    <row r="653" spans="1:12" x14ac:dyDescent="0.45">
      <c r="A653" t="s">
        <v>90</v>
      </c>
      <c r="B653" t="s">
        <v>3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2040</v>
      </c>
      <c r="J653">
        <v>2E-3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2040</v>
      </c>
      <c r="J654">
        <v>8.8000000000000005E-3</v>
      </c>
      <c r="K654" t="s">
        <v>53</v>
      </c>
      <c r="L654">
        <v>55</v>
      </c>
    </row>
    <row r="655" spans="1:12" x14ac:dyDescent="0.45">
      <c r="A655" t="s">
        <v>90</v>
      </c>
      <c r="B655" t="s">
        <v>0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2040</v>
      </c>
      <c r="J655">
        <v>2.2000000000000001E-3</v>
      </c>
      <c r="K655" t="s">
        <v>53</v>
      </c>
      <c r="L655">
        <v>55</v>
      </c>
    </row>
    <row r="656" spans="1:12" x14ac:dyDescent="0.45">
      <c r="A656" t="s">
        <v>90</v>
      </c>
      <c r="B656" t="s">
        <v>6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2040</v>
      </c>
      <c r="J656">
        <v>4.7000000000000002E-3</v>
      </c>
      <c r="K656" t="s">
        <v>53</v>
      </c>
      <c r="L656">
        <v>55</v>
      </c>
    </row>
    <row r="657" spans="1:12" x14ac:dyDescent="0.45">
      <c r="A657" t="s">
        <v>90</v>
      </c>
      <c r="B657" t="s">
        <v>5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2040</v>
      </c>
      <c r="J657">
        <v>1E-3</v>
      </c>
      <c r="K657" t="s">
        <v>53</v>
      </c>
      <c r="L657">
        <v>55</v>
      </c>
    </row>
    <row r="658" spans="1:12" x14ac:dyDescent="0.45">
      <c r="A658" t="s">
        <v>90</v>
      </c>
      <c r="B658" t="s">
        <v>2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2040</v>
      </c>
      <c r="J658">
        <v>5.1999999999999998E-3</v>
      </c>
      <c r="K658" t="s">
        <v>53</v>
      </c>
      <c r="L658">
        <v>55</v>
      </c>
    </row>
    <row r="659" spans="1:12" x14ac:dyDescent="0.45">
      <c r="A659" t="s">
        <v>90</v>
      </c>
      <c r="B659" t="s">
        <v>1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2040</v>
      </c>
      <c r="J659">
        <v>4.0000000000000002E-4</v>
      </c>
      <c r="K659" t="s">
        <v>53</v>
      </c>
      <c r="L659">
        <v>55</v>
      </c>
    </row>
    <row r="660" spans="1:12" x14ac:dyDescent="0.45">
      <c r="A660" t="s">
        <v>90</v>
      </c>
      <c r="B660" t="s">
        <v>3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2045</v>
      </c>
      <c r="J660">
        <v>1.6999999999999999E-3</v>
      </c>
      <c r="K660" t="s">
        <v>53</v>
      </c>
      <c r="L660">
        <v>55</v>
      </c>
    </row>
    <row r="661" spans="1:12" x14ac:dyDescent="0.45">
      <c r="A661" t="s">
        <v>90</v>
      </c>
      <c r="B661" t="s">
        <v>4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2045</v>
      </c>
      <c r="J661">
        <v>1.2500000000000001E-2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2045</v>
      </c>
      <c r="J662">
        <v>1.6999999999999999E-3</v>
      </c>
      <c r="K662" t="s">
        <v>53</v>
      </c>
      <c r="L662">
        <v>55</v>
      </c>
    </row>
    <row r="663" spans="1:12" x14ac:dyDescent="0.45">
      <c r="A663" t="s">
        <v>90</v>
      </c>
      <c r="B663" t="s">
        <v>6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2045</v>
      </c>
      <c r="J663">
        <v>5.4000000000000003E-3</v>
      </c>
      <c r="K663" t="s">
        <v>53</v>
      </c>
      <c r="L663">
        <v>55</v>
      </c>
    </row>
    <row r="664" spans="1:12" x14ac:dyDescent="0.45">
      <c r="A664" t="s">
        <v>90</v>
      </c>
      <c r="B664" t="s">
        <v>5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4.0000000000000002E-4</v>
      </c>
      <c r="K664" t="s">
        <v>53</v>
      </c>
      <c r="L664">
        <v>55</v>
      </c>
    </row>
    <row r="665" spans="1:12" x14ac:dyDescent="0.45">
      <c r="A665" t="s">
        <v>90</v>
      </c>
      <c r="B665" t="s">
        <v>2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2045</v>
      </c>
      <c r="J665">
        <v>6.6E-3</v>
      </c>
      <c r="K665" t="s">
        <v>53</v>
      </c>
      <c r="L665">
        <v>55</v>
      </c>
    </row>
    <row r="666" spans="1:12" x14ac:dyDescent="0.45">
      <c r="A666" t="s">
        <v>90</v>
      </c>
      <c r="B666" t="s">
        <v>1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2045</v>
      </c>
      <c r="J666">
        <v>2.0000000000000001E-4</v>
      </c>
      <c r="K666" t="s">
        <v>53</v>
      </c>
      <c r="L666">
        <v>55</v>
      </c>
    </row>
    <row r="667" spans="1:12" x14ac:dyDescent="0.45">
      <c r="A667" t="s">
        <v>90</v>
      </c>
      <c r="B667" t="s">
        <v>3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2050</v>
      </c>
      <c r="J667">
        <v>5.0000000000000001E-4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2050</v>
      </c>
      <c r="J668">
        <v>1.6299999999999999E-2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2050</v>
      </c>
      <c r="J669">
        <v>6.9999999999999999E-4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2050</v>
      </c>
      <c r="J670">
        <v>3.7000000000000002E-3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2050</v>
      </c>
      <c r="J671">
        <v>2.0000000000000001E-4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2050</v>
      </c>
      <c r="J672">
        <v>7.6E-3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2050</v>
      </c>
      <c r="J673">
        <v>1E-4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2055</v>
      </c>
      <c r="J674">
        <v>4.0000000000000002E-4</v>
      </c>
      <c r="K674" t="s">
        <v>53</v>
      </c>
      <c r="L674">
        <v>55</v>
      </c>
    </row>
    <row r="675" spans="1:12" x14ac:dyDescent="0.45">
      <c r="A675" t="s">
        <v>90</v>
      </c>
      <c r="B675" t="s">
        <v>4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2055</v>
      </c>
      <c r="J675">
        <v>1.95E-2</v>
      </c>
      <c r="K675" t="s">
        <v>53</v>
      </c>
      <c r="L675">
        <v>55</v>
      </c>
    </row>
    <row r="676" spans="1:12" x14ac:dyDescent="0.45">
      <c r="A676" t="s">
        <v>90</v>
      </c>
      <c r="B676" t="s">
        <v>0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2055</v>
      </c>
      <c r="J676">
        <v>2.5000000000000001E-4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2055</v>
      </c>
      <c r="J677">
        <v>1.65E-3</v>
      </c>
      <c r="K677" t="s">
        <v>53</v>
      </c>
      <c r="L677">
        <v>55</v>
      </c>
    </row>
    <row r="678" spans="1:12" x14ac:dyDescent="0.45">
      <c r="A678" t="s">
        <v>90</v>
      </c>
      <c r="B678" t="s">
        <v>5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2055</v>
      </c>
      <c r="J678">
        <v>1E-4</v>
      </c>
      <c r="K678" t="s">
        <v>53</v>
      </c>
      <c r="L678">
        <v>55</v>
      </c>
    </row>
    <row r="679" spans="1:12" x14ac:dyDescent="0.45">
      <c r="A679" t="s">
        <v>90</v>
      </c>
      <c r="B679" t="s">
        <v>2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2055</v>
      </c>
      <c r="J679">
        <v>7.9000000000000008E-3</v>
      </c>
      <c r="K679" t="s">
        <v>53</v>
      </c>
      <c r="L679">
        <v>55</v>
      </c>
    </row>
    <row r="680" spans="1:12" x14ac:dyDescent="0.45">
      <c r="A680" t="s">
        <v>90</v>
      </c>
      <c r="B680" t="s">
        <v>1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2055</v>
      </c>
      <c r="J680">
        <v>1E-4</v>
      </c>
      <c r="K680" t="s">
        <v>53</v>
      </c>
      <c r="L680">
        <v>55</v>
      </c>
    </row>
    <row r="681" spans="1:12" x14ac:dyDescent="0.45">
      <c r="A681" t="s">
        <v>90</v>
      </c>
      <c r="B681" t="s">
        <v>3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2060</v>
      </c>
      <c r="J681">
        <v>4.0000000000000002E-4</v>
      </c>
      <c r="K681" t="s">
        <v>53</v>
      </c>
      <c r="L681">
        <v>55</v>
      </c>
    </row>
    <row r="682" spans="1:12" x14ac:dyDescent="0.45">
      <c r="A682" t="s">
        <v>90</v>
      </c>
      <c r="B682" t="s">
        <v>4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2060</v>
      </c>
      <c r="J682">
        <v>2.1850000000000001E-2</v>
      </c>
      <c r="K682" t="s">
        <v>53</v>
      </c>
      <c r="L682">
        <v>55</v>
      </c>
    </row>
    <row r="683" spans="1:12" x14ac:dyDescent="0.45">
      <c r="A683" t="s">
        <v>90</v>
      </c>
      <c r="B683" t="s">
        <v>0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2060</v>
      </c>
      <c r="J683">
        <v>1E-4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4.4999999999999999E-4</v>
      </c>
      <c r="K684" t="s">
        <v>53</v>
      </c>
      <c r="L684">
        <v>55</v>
      </c>
    </row>
    <row r="685" spans="1:12" x14ac:dyDescent="0.45">
      <c r="A685" t="s">
        <v>90</v>
      </c>
      <c r="B685" t="s">
        <v>5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2060</v>
      </c>
      <c r="J685">
        <v>1E-4</v>
      </c>
      <c r="K685" t="s">
        <v>53</v>
      </c>
      <c r="L685">
        <v>55</v>
      </c>
    </row>
    <row r="686" spans="1:12" x14ac:dyDescent="0.45">
      <c r="A686" t="s">
        <v>90</v>
      </c>
      <c r="B686" t="s">
        <v>2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2060</v>
      </c>
      <c r="J686">
        <v>4.5000000000000005E-3</v>
      </c>
      <c r="K686" t="s">
        <v>53</v>
      </c>
      <c r="L686">
        <v>55</v>
      </c>
    </row>
    <row r="687" spans="1:12" x14ac:dyDescent="0.45">
      <c r="A687" t="s">
        <v>90</v>
      </c>
      <c r="B687" t="s">
        <v>1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2060</v>
      </c>
      <c r="J687">
        <v>0</v>
      </c>
      <c r="K687" t="s">
        <v>53</v>
      </c>
      <c r="L687">
        <v>55</v>
      </c>
    </row>
    <row r="688" spans="1:12" x14ac:dyDescent="0.45">
      <c r="A688" t="s">
        <v>90</v>
      </c>
      <c r="B688" t="s">
        <v>3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2065</v>
      </c>
      <c r="J688">
        <v>4.0000000000000002E-4</v>
      </c>
      <c r="K688" t="s">
        <v>53</v>
      </c>
      <c r="L688">
        <v>55</v>
      </c>
    </row>
    <row r="689" spans="1:12" x14ac:dyDescent="0.45">
      <c r="A689" t="s">
        <v>90</v>
      </c>
      <c r="B689" t="s">
        <v>4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2065</v>
      </c>
      <c r="J689">
        <v>2.1999999999999999E-2</v>
      </c>
      <c r="K689" t="s">
        <v>53</v>
      </c>
      <c r="L689">
        <v>55</v>
      </c>
    </row>
    <row r="690" spans="1:12" x14ac:dyDescent="0.45">
      <c r="A690" t="s">
        <v>90</v>
      </c>
      <c r="B690" t="s">
        <v>0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2065</v>
      </c>
      <c r="J690">
        <v>5.0000000000000002E-5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2065</v>
      </c>
      <c r="J691">
        <v>4.4999999999999999E-4</v>
      </c>
      <c r="K691" t="s">
        <v>53</v>
      </c>
      <c r="L691">
        <v>55</v>
      </c>
    </row>
    <row r="692" spans="1:12" x14ac:dyDescent="0.45">
      <c r="A692" t="s">
        <v>90</v>
      </c>
      <c r="B692" t="s">
        <v>5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2065</v>
      </c>
      <c r="J692">
        <v>1E-4</v>
      </c>
      <c r="K692" t="s">
        <v>53</v>
      </c>
      <c r="L692">
        <v>55</v>
      </c>
    </row>
    <row r="693" spans="1:12" x14ac:dyDescent="0.45">
      <c r="A693" t="s">
        <v>90</v>
      </c>
      <c r="B693" t="s">
        <v>2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2065</v>
      </c>
      <c r="J693">
        <v>3.8999999999999998E-3</v>
      </c>
      <c r="K693" t="s">
        <v>53</v>
      </c>
      <c r="L693">
        <v>55</v>
      </c>
    </row>
    <row r="694" spans="1:12" x14ac:dyDescent="0.45">
      <c r="A694" t="s">
        <v>90</v>
      </c>
      <c r="B694" t="s">
        <v>1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2065</v>
      </c>
      <c r="J694">
        <v>0</v>
      </c>
      <c r="K694" t="s">
        <v>53</v>
      </c>
      <c r="L694">
        <v>55</v>
      </c>
    </row>
    <row r="695" spans="1:12" x14ac:dyDescent="0.45">
      <c r="A695" t="s">
        <v>90</v>
      </c>
      <c r="B695" t="s">
        <v>3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2070</v>
      </c>
      <c r="J695">
        <v>4.0000000000000002E-4</v>
      </c>
      <c r="K695" t="s">
        <v>53</v>
      </c>
      <c r="L695">
        <v>55</v>
      </c>
    </row>
    <row r="696" spans="1:12" x14ac:dyDescent="0.45">
      <c r="A696" t="s">
        <v>90</v>
      </c>
      <c r="B696" t="s">
        <v>4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2070</v>
      </c>
      <c r="J696">
        <v>2.1649999999999999E-2</v>
      </c>
      <c r="K696" t="s">
        <v>53</v>
      </c>
      <c r="L696">
        <v>55</v>
      </c>
    </row>
    <row r="697" spans="1:12" x14ac:dyDescent="0.45">
      <c r="A697" t="s">
        <v>90</v>
      </c>
      <c r="B697" t="s">
        <v>0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2070</v>
      </c>
      <c r="J697">
        <v>0</v>
      </c>
      <c r="K697" t="s">
        <v>53</v>
      </c>
      <c r="L697">
        <v>55</v>
      </c>
    </row>
    <row r="698" spans="1:12" x14ac:dyDescent="0.45">
      <c r="A698" t="s">
        <v>90</v>
      </c>
      <c r="B698" t="s">
        <v>6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2070</v>
      </c>
      <c r="J698">
        <v>4.4999999999999999E-4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2070</v>
      </c>
      <c r="J699">
        <v>5.0000000000000002E-5</v>
      </c>
      <c r="K699" t="s">
        <v>53</v>
      </c>
      <c r="L699">
        <v>55</v>
      </c>
    </row>
    <row r="700" spans="1:12" x14ac:dyDescent="0.45">
      <c r="A700" t="s">
        <v>90</v>
      </c>
      <c r="B700" t="s">
        <v>2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2070</v>
      </c>
      <c r="J700">
        <v>3.0000000000000001E-3</v>
      </c>
      <c r="K700" t="s">
        <v>53</v>
      </c>
      <c r="L700">
        <v>55</v>
      </c>
    </row>
    <row r="701" spans="1:12" x14ac:dyDescent="0.45">
      <c r="A701" t="s">
        <v>90</v>
      </c>
      <c r="B701" t="s">
        <v>1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2070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3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2075</v>
      </c>
      <c r="J702">
        <v>3.5E-4</v>
      </c>
      <c r="K702" t="s">
        <v>53</v>
      </c>
      <c r="L702">
        <v>55</v>
      </c>
    </row>
    <row r="703" spans="1:12" x14ac:dyDescent="0.45">
      <c r="A703" t="s">
        <v>90</v>
      </c>
      <c r="B703" t="s">
        <v>4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2075</v>
      </c>
      <c r="J703">
        <v>1.9599999999999999E-2</v>
      </c>
      <c r="K703" t="s">
        <v>53</v>
      </c>
      <c r="L703">
        <v>55</v>
      </c>
    </row>
    <row r="704" spans="1:12" x14ac:dyDescent="0.45">
      <c r="A704" t="s">
        <v>90</v>
      </c>
      <c r="B704" t="s">
        <v>0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6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2075</v>
      </c>
      <c r="J705">
        <v>4.0000000000000002E-4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2075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2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2075</v>
      </c>
      <c r="J707">
        <v>2.4499999999999999E-3</v>
      </c>
      <c r="K707" t="s">
        <v>53</v>
      </c>
      <c r="L707">
        <v>55</v>
      </c>
    </row>
    <row r="708" spans="1:12" x14ac:dyDescent="0.45">
      <c r="A708" t="s">
        <v>90</v>
      </c>
      <c r="B708" t="s">
        <v>1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2075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3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2080</v>
      </c>
      <c r="J709">
        <v>2.5000000000000001E-4</v>
      </c>
      <c r="K709" t="s">
        <v>53</v>
      </c>
      <c r="L709">
        <v>55</v>
      </c>
    </row>
    <row r="710" spans="1:12" x14ac:dyDescent="0.45">
      <c r="A710" t="s">
        <v>90</v>
      </c>
      <c r="B710" t="s">
        <v>4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2080</v>
      </c>
      <c r="J710">
        <v>1.66E-2</v>
      </c>
      <c r="K710" t="s">
        <v>53</v>
      </c>
      <c r="L710">
        <v>55</v>
      </c>
    </row>
    <row r="711" spans="1:12" x14ac:dyDescent="0.45">
      <c r="A711" t="s">
        <v>90</v>
      </c>
      <c r="B711" t="s">
        <v>0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2080</v>
      </c>
      <c r="J711">
        <v>0</v>
      </c>
      <c r="K711" t="s">
        <v>53</v>
      </c>
      <c r="L711">
        <v>55</v>
      </c>
    </row>
    <row r="712" spans="1:12" x14ac:dyDescent="0.45">
      <c r="A712" t="s">
        <v>90</v>
      </c>
      <c r="B712" t="s">
        <v>6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2080</v>
      </c>
      <c r="J712">
        <v>3.5E-4</v>
      </c>
      <c r="K712" t="s">
        <v>53</v>
      </c>
      <c r="L712">
        <v>55</v>
      </c>
    </row>
    <row r="713" spans="1:12" x14ac:dyDescent="0.45">
      <c r="A713" t="s">
        <v>90</v>
      </c>
      <c r="B713" t="s">
        <v>5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2080</v>
      </c>
      <c r="J713">
        <v>0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2080</v>
      </c>
      <c r="J714">
        <v>1.65E-3</v>
      </c>
      <c r="K714" t="s">
        <v>53</v>
      </c>
      <c r="L714">
        <v>55</v>
      </c>
    </row>
    <row r="715" spans="1:12" x14ac:dyDescent="0.45">
      <c r="A715" t="s">
        <v>90</v>
      </c>
      <c r="B715" t="s">
        <v>1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2080</v>
      </c>
      <c r="J715">
        <v>0</v>
      </c>
      <c r="K715" t="s">
        <v>53</v>
      </c>
      <c r="L715">
        <v>55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2085</v>
      </c>
      <c r="J716">
        <v>2.0000000000000001E-4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2085</v>
      </c>
      <c r="J717">
        <v>1.4999999999999999E-2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2085</v>
      </c>
      <c r="J718">
        <v>0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2085</v>
      </c>
      <c r="J719">
        <v>2.5000000000000001E-4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2085</v>
      </c>
      <c r="J720">
        <v>0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2085</v>
      </c>
      <c r="J721">
        <v>1.9499999999999999E-3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2085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2090</v>
      </c>
      <c r="J723">
        <v>1E-4</v>
      </c>
      <c r="K723" t="s">
        <v>53</v>
      </c>
      <c r="L723">
        <v>55</v>
      </c>
    </row>
    <row r="724" spans="1:12" x14ac:dyDescent="0.45">
      <c r="A724" t="s">
        <v>90</v>
      </c>
      <c r="B724" t="s">
        <v>4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1.2750000000000001E-2</v>
      </c>
      <c r="K724" t="s">
        <v>53</v>
      </c>
      <c r="L724">
        <v>55</v>
      </c>
    </row>
    <row r="725" spans="1:12" x14ac:dyDescent="0.45">
      <c r="A725" t="s">
        <v>90</v>
      </c>
      <c r="B725" t="s">
        <v>0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2090</v>
      </c>
      <c r="J725">
        <v>0</v>
      </c>
      <c r="K725" t="s">
        <v>53</v>
      </c>
      <c r="L725">
        <v>55</v>
      </c>
    </row>
    <row r="726" spans="1:12" x14ac:dyDescent="0.45">
      <c r="A726" t="s">
        <v>90</v>
      </c>
      <c r="B726" t="s">
        <v>6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2090</v>
      </c>
      <c r="J726">
        <v>1E-4</v>
      </c>
      <c r="K726" t="s">
        <v>53</v>
      </c>
      <c r="L726">
        <v>55</v>
      </c>
    </row>
    <row r="727" spans="1:12" x14ac:dyDescent="0.45">
      <c r="A727" t="s">
        <v>90</v>
      </c>
      <c r="B727" t="s">
        <v>5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2090</v>
      </c>
      <c r="J727">
        <v>0</v>
      </c>
      <c r="K727" t="s">
        <v>53</v>
      </c>
      <c r="L727">
        <v>55</v>
      </c>
    </row>
    <row r="728" spans="1:12" x14ac:dyDescent="0.45">
      <c r="A728" t="s">
        <v>90</v>
      </c>
      <c r="B728" t="s">
        <v>2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2090</v>
      </c>
      <c r="J728">
        <v>2.3499999999999997E-3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2090</v>
      </c>
      <c r="J729">
        <v>0</v>
      </c>
      <c r="K729" t="s">
        <v>53</v>
      </c>
      <c r="L729">
        <v>55</v>
      </c>
    </row>
    <row r="730" spans="1:12" x14ac:dyDescent="0.45">
      <c r="A730" t="s">
        <v>90</v>
      </c>
      <c r="B730" t="s">
        <v>3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2095</v>
      </c>
      <c r="J730">
        <v>5.0000000000000002E-5</v>
      </c>
      <c r="K730" t="s">
        <v>53</v>
      </c>
      <c r="L730">
        <v>55</v>
      </c>
    </row>
    <row r="731" spans="1:12" x14ac:dyDescent="0.45">
      <c r="A731" t="s">
        <v>90</v>
      </c>
      <c r="B731" t="s">
        <v>4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2095</v>
      </c>
      <c r="J731">
        <v>1.1949999999999999E-2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2095</v>
      </c>
      <c r="J732">
        <v>0</v>
      </c>
      <c r="K732" t="s">
        <v>53</v>
      </c>
      <c r="L732">
        <v>55</v>
      </c>
    </row>
    <row r="733" spans="1:12" x14ac:dyDescent="0.45">
      <c r="A733" t="s">
        <v>90</v>
      </c>
      <c r="B733" t="s">
        <v>6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2095</v>
      </c>
      <c r="J733">
        <v>1E-4</v>
      </c>
      <c r="K733" t="s">
        <v>53</v>
      </c>
      <c r="L733">
        <v>55</v>
      </c>
    </row>
    <row r="734" spans="1:12" x14ac:dyDescent="0.45">
      <c r="A734" t="s">
        <v>90</v>
      </c>
      <c r="B734" t="s">
        <v>5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2095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2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2095</v>
      </c>
      <c r="J735">
        <v>2.3499999999999997E-3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2095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3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2100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4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2100</v>
      </c>
      <c r="J738">
        <v>1.0749999999999999E-2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2100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6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2100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5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2100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2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2100</v>
      </c>
      <c r="J742">
        <v>2.2500000000000003E-3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0</v>
      </c>
      <c r="K744" t="s">
        <v>54</v>
      </c>
      <c r="L744">
        <v>70</v>
      </c>
    </row>
    <row r="745" spans="1:12" x14ac:dyDescent="0.45">
      <c r="A745" t="s">
        <v>90</v>
      </c>
      <c r="B745" t="s">
        <v>4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2020</v>
      </c>
      <c r="J745">
        <v>0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2020</v>
      </c>
      <c r="J746">
        <v>0</v>
      </c>
      <c r="K746" t="s">
        <v>54</v>
      </c>
      <c r="L746">
        <v>70</v>
      </c>
    </row>
    <row r="747" spans="1:12" x14ac:dyDescent="0.45">
      <c r="A747" t="s">
        <v>90</v>
      </c>
      <c r="B747" t="s">
        <v>6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2020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5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2020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2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2020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1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2020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2025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4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2025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0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2025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6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2025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5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2025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2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2025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1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2025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2030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2030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2030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2030</v>
      </c>
      <c r="J761">
        <v>0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2030</v>
      </c>
      <c r="J762">
        <v>0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2030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2035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2035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0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2035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6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2035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5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2035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2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2035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1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2035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3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2040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2040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2040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2040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2040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2040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2040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2045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2045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2045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2045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2045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2045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4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2050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2050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6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2050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5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2050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2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1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2050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2055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4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2055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0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2055</v>
      </c>
      <c r="J795">
        <v>0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2055</v>
      </c>
      <c r="J796">
        <v>0</v>
      </c>
      <c r="K796" t="s">
        <v>54</v>
      </c>
      <c r="L796">
        <v>70</v>
      </c>
    </row>
    <row r="797" spans="1:12" x14ac:dyDescent="0.45">
      <c r="A797" t="s">
        <v>90</v>
      </c>
      <c r="B797" t="s">
        <v>5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2055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2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2055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1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2055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3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2060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2060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2060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2060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2060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2060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2065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4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2065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0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2065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2065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5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2065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2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2065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1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2065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2070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4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2070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0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2070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6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2070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2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2070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1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2070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2075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2075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2075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2075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2075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2080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2080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2080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6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2080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5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2080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2080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2080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3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2085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4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2085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2085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6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2085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5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2085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2085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1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2085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3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2090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2090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2090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2090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2090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2095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4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2095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0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2095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6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2095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5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2095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2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2095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2095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3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2100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4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2100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0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2100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6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2100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5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2100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2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2100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2.9999999999999997E-4</v>
      </c>
      <c r="K863" t="s">
        <v>85</v>
      </c>
    </row>
    <row r="864" spans="1:12" x14ac:dyDescent="0.45">
      <c r="A864" t="s">
        <v>90</v>
      </c>
      <c r="B864" t="s">
        <v>4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2020</v>
      </c>
      <c r="J864">
        <v>2.9999999999999997E-4</v>
      </c>
      <c r="K864" t="s">
        <v>85</v>
      </c>
    </row>
    <row r="865" spans="1:11" x14ac:dyDescent="0.45">
      <c r="A865" t="s">
        <v>90</v>
      </c>
      <c r="B865" t="s">
        <v>0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2020</v>
      </c>
      <c r="J865">
        <v>2.0000000000000001E-4</v>
      </c>
      <c r="K865" t="s">
        <v>85</v>
      </c>
    </row>
    <row r="866" spans="1:11" x14ac:dyDescent="0.45">
      <c r="A866" t="s">
        <v>90</v>
      </c>
      <c r="B866" t="s">
        <v>6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2020</v>
      </c>
      <c r="J866">
        <v>2.0000000000000001E-4</v>
      </c>
      <c r="K866" t="s">
        <v>85</v>
      </c>
    </row>
    <row r="867" spans="1:11" x14ac:dyDescent="0.45">
      <c r="A867" t="s">
        <v>90</v>
      </c>
      <c r="B867" t="s">
        <v>5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2020</v>
      </c>
      <c r="J867">
        <v>5.9999999999999995E-4</v>
      </c>
      <c r="K867" t="s">
        <v>85</v>
      </c>
    </row>
    <row r="868" spans="1:11" x14ac:dyDescent="0.45">
      <c r="A868" t="s">
        <v>90</v>
      </c>
      <c r="B868" t="s">
        <v>2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2020</v>
      </c>
      <c r="J868">
        <v>2.9999999999999997E-4</v>
      </c>
      <c r="K868" t="s">
        <v>85</v>
      </c>
    </row>
    <row r="869" spans="1:11" x14ac:dyDescent="0.45">
      <c r="A869" t="s">
        <v>90</v>
      </c>
      <c r="B869" t="s">
        <v>1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2020</v>
      </c>
      <c r="J869">
        <v>2.0000000000000001E-4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2025</v>
      </c>
      <c r="J870">
        <v>1.4E-3</v>
      </c>
      <c r="K870" t="s">
        <v>85</v>
      </c>
    </row>
    <row r="871" spans="1:11" x14ac:dyDescent="0.45">
      <c r="A871" t="s">
        <v>90</v>
      </c>
      <c r="B871" t="s">
        <v>4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2025</v>
      </c>
      <c r="J871">
        <v>1.4E-3</v>
      </c>
      <c r="K871" t="s">
        <v>85</v>
      </c>
    </row>
    <row r="872" spans="1:11" x14ac:dyDescent="0.45">
      <c r="A872" t="s">
        <v>90</v>
      </c>
      <c r="B872" t="s">
        <v>0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2025</v>
      </c>
      <c r="J872">
        <v>1.2999999999999999E-3</v>
      </c>
      <c r="K872" t="s">
        <v>85</v>
      </c>
    </row>
    <row r="873" spans="1:11" x14ac:dyDescent="0.45">
      <c r="A873" t="s">
        <v>90</v>
      </c>
      <c r="B873" t="s">
        <v>6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2025</v>
      </c>
      <c r="J873">
        <v>1.2999999999999999E-3</v>
      </c>
      <c r="K873" t="s">
        <v>85</v>
      </c>
    </row>
    <row r="874" spans="1:11" x14ac:dyDescent="0.45">
      <c r="A874" t="s">
        <v>90</v>
      </c>
      <c r="B874" t="s">
        <v>5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2025</v>
      </c>
      <c r="J874">
        <v>2.7499999999999998E-3</v>
      </c>
      <c r="K874" t="s">
        <v>85</v>
      </c>
    </row>
    <row r="875" spans="1:11" x14ac:dyDescent="0.45">
      <c r="A875" t="s">
        <v>90</v>
      </c>
      <c r="B875" t="s">
        <v>2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2025</v>
      </c>
      <c r="J875">
        <v>1.4E-3</v>
      </c>
      <c r="K875" t="s">
        <v>85</v>
      </c>
    </row>
    <row r="876" spans="1:11" x14ac:dyDescent="0.45">
      <c r="A876" t="s">
        <v>90</v>
      </c>
      <c r="B876" t="s">
        <v>1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2025</v>
      </c>
      <c r="J876">
        <v>1.4499999999999999E-3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2030</v>
      </c>
      <c r="J877">
        <v>4.15E-3</v>
      </c>
      <c r="K877" t="s">
        <v>85</v>
      </c>
    </row>
    <row r="878" spans="1:11" x14ac:dyDescent="0.45">
      <c r="A878" t="s">
        <v>90</v>
      </c>
      <c r="B878" t="s">
        <v>4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2030</v>
      </c>
      <c r="J878">
        <v>3.5000000000000001E-3</v>
      </c>
      <c r="K878" t="s">
        <v>85</v>
      </c>
    </row>
    <row r="879" spans="1:11" x14ac:dyDescent="0.45">
      <c r="A879" t="s">
        <v>90</v>
      </c>
      <c r="B879" t="s">
        <v>0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2030</v>
      </c>
      <c r="J879">
        <v>3.4499999999999999E-3</v>
      </c>
      <c r="K879" t="s">
        <v>85</v>
      </c>
    </row>
    <row r="880" spans="1:11" x14ac:dyDescent="0.45">
      <c r="A880" t="s">
        <v>90</v>
      </c>
      <c r="B880" t="s">
        <v>6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2030</v>
      </c>
      <c r="J880">
        <v>3.4499999999999999E-3</v>
      </c>
      <c r="K880" t="s">
        <v>85</v>
      </c>
    </row>
    <row r="881" spans="1:11" x14ac:dyDescent="0.45">
      <c r="A881" t="s">
        <v>90</v>
      </c>
      <c r="B881" t="s">
        <v>5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2030</v>
      </c>
      <c r="J881">
        <v>5.1000000000000004E-3</v>
      </c>
      <c r="K881" t="s">
        <v>85</v>
      </c>
    </row>
    <row r="882" spans="1:11" x14ac:dyDescent="0.45">
      <c r="A882" t="s">
        <v>90</v>
      </c>
      <c r="B882" t="s">
        <v>2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3.65E-3</v>
      </c>
      <c r="K882" t="s">
        <v>85</v>
      </c>
    </row>
    <row r="883" spans="1:11" x14ac:dyDescent="0.45">
      <c r="A883" t="s">
        <v>90</v>
      </c>
      <c r="B883" t="s">
        <v>1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2030</v>
      </c>
      <c r="J883">
        <v>5.3E-3</v>
      </c>
      <c r="K883" t="s">
        <v>85</v>
      </c>
    </row>
    <row r="884" spans="1:11" x14ac:dyDescent="0.45">
      <c r="A884" t="s">
        <v>90</v>
      </c>
      <c r="B884" t="s">
        <v>3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2035</v>
      </c>
      <c r="J884">
        <v>8.4499999999999992E-3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2035</v>
      </c>
      <c r="J885">
        <v>6.3499999999999997E-3</v>
      </c>
      <c r="K885" t="s">
        <v>85</v>
      </c>
    </row>
    <row r="886" spans="1:11" x14ac:dyDescent="0.45">
      <c r="A886" t="s">
        <v>90</v>
      </c>
      <c r="B886" t="s">
        <v>0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2035</v>
      </c>
      <c r="J886">
        <v>6.0999999999999995E-3</v>
      </c>
      <c r="K886" t="s">
        <v>85</v>
      </c>
    </row>
    <row r="887" spans="1:11" x14ac:dyDescent="0.45">
      <c r="A887" t="s">
        <v>90</v>
      </c>
      <c r="B887" t="s">
        <v>6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2035</v>
      </c>
      <c r="J887">
        <v>6.4999999999999997E-3</v>
      </c>
      <c r="K887" t="s">
        <v>85</v>
      </c>
    </row>
    <row r="888" spans="1:11" x14ac:dyDescent="0.45">
      <c r="A888" t="s">
        <v>90</v>
      </c>
      <c r="B888" t="s">
        <v>5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2035</v>
      </c>
      <c r="J888">
        <v>7.6E-3</v>
      </c>
      <c r="K888" t="s">
        <v>85</v>
      </c>
    </row>
    <row r="889" spans="1:11" x14ac:dyDescent="0.45">
      <c r="A889" t="s">
        <v>90</v>
      </c>
      <c r="B889" t="s">
        <v>2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2035</v>
      </c>
      <c r="J889">
        <v>6.7999999999999996E-3</v>
      </c>
      <c r="K889" t="s">
        <v>85</v>
      </c>
    </row>
    <row r="890" spans="1:11" x14ac:dyDescent="0.45">
      <c r="A890" t="s">
        <v>90</v>
      </c>
      <c r="B890" t="s">
        <v>1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2035</v>
      </c>
      <c r="J890">
        <v>9.8999999999999991E-3</v>
      </c>
      <c r="K890" t="s">
        <v>85</v>
      </c>
    </row>
    <row r="891" spans="1:11" x14ac:dyDescent="0.45">
      <c r="A891" t="s">
        <v>90</v>
      </c>
      <c r="B891" t="s">
        <v>3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2040</v>
      </c>
      <c r="J891">
        <v>1.345E-2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2040</v>
      </c>
      <c r="J892">
        <v>9.7000000000000003E-3</v>
      </c>
      <c r="K892" t="s">
        <v>85</v>
      </c>
    </row>
    <row r="893" spans="1:11" x14ac:dyDescent="0.45">
      <c r="A893" t="s">
        <v>90</v>
      </c>
      <c r="B893" t="s">
        <v>0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2040</v>
      </c>
      <c r="J893">
        <v>1.2E-2</v>
      </c>
      <c r="K893" t="s">
        <v>85</v>
      </c>
    </row>
    <row r="894" spans="1:11" x14ac:dyDescent="0.45">
      <c r="A894" t="s">
        <v>90</v>
      </c>
      <c r="B894" t="s">
        <v>6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2040</v>
      </c>
      <c r="J894">
        <v>1.0999999999999999E-2</v>
      </c>
      <c r="K894" t="s">
        <v>85</v>
      </c>
    </row>
    <row r="895" spans="1:11" x14ac:dyDescent="0.45">
      <c r="A895" t="s">
        <v>90</v>
      </c>
      <c r="B895" t="s">
        <v>5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2040</v>
      </c>
      <c r="J895">
        <v>1.065E-2</v>
      </c>
      <c r="K895" t="s">
        <v>85</v>
      </c>
    </row>
    <row r="896" spans="1:11" x14ac:dyDescent="0.45">
      <c r="A896" t="s">
        <v>90</v>
      </c>
      <c r="B896" t="s">
        <v>2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2040</v>
      </c>
      <c r="J896">
        <v>1.0800000000000001E-2</v>
      </c>
      <c r="K896" t="s">
        <v>85</v>
      </c>
    </row>
    <row r="897" spans="1:11" x14ac:dyDescent="0.45">
      <c r="A897" t="s">
        <v>90</v>
      </c>
      <c r="B897" t="s">
        <v>1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2040</v>
      </c>
      <c r="J897">
        <v>1.77E-2</v>
      </c>
      <c r="K897" t="s">
        <v>85</v>
      </c>
    </row>
    <row r="898" spans="1:11" x14ac:dyDescent="0.45">
      <c r="A898" t="s">
        <v>90</v>
      </c>
      <c r="B898" t="s">
        <v>3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2045</v>
      </c>
      <c r="J898">
        <v>1.9299999999999998E-2</v>
      </c>
      <c r="K898" t="s">
        <v>85</v>
      </c>
    </row>
    <row r="899" spans="1:11" x14ac:dyDescent="0.45">
      <c r="A899" t="s">
        <v>90</v>
      </c>
      <c r="B899" t="s">
        <v>4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2045</v>
      </c>
      <c r="J899">
        <v>1.3100000000000001E-2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2045</v>
      </c>
      <c r="J900">
        <v>1.8599999999999998E-2</v>
      </c>
      <c r="K900" t="s">
        <v>85</v>
      </c>
    </row>
    <row r="901" spans="1:11" x14ac:dyDescent="0.45">
      <c r="A901" t="s">
        <v>90</v>
      </c>
      <c r="B901" t="s">
        <v>6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2045</v>
      </c>
      <c r="J901">
        <v>1.6750000000000001E-2</v>
      </c>
      <c r="K901" t="s">
        <v>85</v>
      </c>
    </row>
    <row r="902" spans="1:11" x14ac:dyDescent="0.45">
      <c r="A902" t="s">
        <v>90</v>
      </c>
      <c r="B902" t="s">
        <v>5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1.3299999999999999E-2</v>
      </c>
      <c r="K902" t="s">
        <v>85</v>
      </c>
    </row>
    <row r="903" spans="1:11" x14ac:dyDescent="0.45">
      <c r="A903" t="s">
        <v>90</v>
      </c>
      <c r="B903" t="s">
        <v>2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2045</v>
      </c>
      <c r="J903">
        <v>1.485E-2</v>
      </c>
      <c r="K903" t="s">
        <v>85</v>
      </c>
    </row>
    <row r="904" spans="1:11" x14ac:dyDescent="0.45">
      <c r="A904" t="s">
        <v>90</v>
      </c>
      <c r="B904" t="s">
        <v>1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2045</v>
      </c>
      <c r="J904">
        <v>2.2850000000000002E-2</v>
      </c>
      <c r="K904" t="s">
        <v>85</v>
      </c>
    </row>
    <row r="905" spans="1:11" x14ac:dyDescent="0.45">
      <c r="A905" t="s">
        <v>90</v>
      </c>
      <c r="B905" t="s">
        <v>3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2050</v>
      </c>
      <c r="J905">
        <v>2.64E-2</v>
      </c>
      <c r="K905" t="s">
        <v>85</v>
      </c>
    </row>
    <row r="906" spans="1:11" x14ac:dyDescent="0.45">
      <c r="A906" t="s">
        <v>90</v>
      </c>
      <c r="B906" t="s">
        <v>4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2050</v>
      </c>
      <c r="J906">
        <v>1.635E-2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2050</v>
      </c>
      <c r="J907">
        <v>2.6950000000000002E-2</v>
      </c>
      <c r="K907" t="s">
        <v>85</v>
      </c>
    </row>
    <row r="908" spans="1:11" x14ac:dyDescent="0.45">
      <c r="A908" t="s">
        <v>90</v>
      </c>
      <c r="B908" t="s">
        <v>6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2050</v>
      </c>
      <c r="J908">
        <v>2.5049999999999999E-2</v>
      </c>
      <c r="K908" t="s">
        <v>85</v>
      </c>
    </row>
    <row r="909" spans="1:11" x14ac:dyDescent="0.45">
      <c r="A909" t="s">
        <v>90</v>
      </c>
      <c r="B909" t="s">
        <v>5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2050</v>
      </c>
      <c r="J909">
        <v>1.6399999999999998E-2</v>
      </c>
      <c r="K909" t="s">
        <v>85</v>
      </c>
    </row>
    <row r="910" spans="1:11" x14ac:dyDescent="0.45">
      <c r="A910" t="s">
        <v>90</v>
      </c>
      <c r="B910" t="s">
        <v>2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2050</v>
      </c>
      <c r="J910">
        <v>1.9349999999999999E-2</v>
      </c>
      <c r="K910" t="s">
        <v>85</v>
      </c>
    </row>
    <row r="911" spans="1:11" x14ac:dyDescent="0.45">
      <c r="A911" t="s">
        <v>90</v>
      </c>
      <c r="B911" t="s">
        <v>1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2050</v>
      </c>
      <c r="J911">
        <v>2.8549999999999999E-2</v>
      </c>
      <c r="K911" t="s">
        <v>85</v>
      </c>
    </row>
    <row r="912" spans="1:11" x14ac:dyDescent="0.45">
      <c r="A912" t="s">
        <v>90</v>
      </c>
      <c r="B912" t="s">
        <v>3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2055</v>
      </c>
      <c r="J912">
        <v>2.9249999999999998E-2</v>
      </c>
      <c r="K912" t="s">
        <v>85</v>
      </c>
    </row>
    <row r="913" spans="1:11" x14ac:dyDescent="0.45">
      <c r="A913" t="s">
        <v>90</v>
      </c>
      <c r="B913" t="s">
        <v>4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2055</v>
      </c>
      <c r="J913">
        <v>1.78E-2</v>
      </c>
      <c r="K913" t="s">
        <v>85</v>
      </c>
    </row>
    <row r="914" spans="1:11" x14ac:dyDescent="0.45">
      <c r="A914" t="s">
        <v>90</v>
      </c>
      <c r="B914" t="s">
        <v>0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2055</v>
      </c>
      <c r="J914">
        <v>3.465E-2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2055</v>
      </c>
      <c r="J915">
        <v>2.9900000000000003E-2</v>
      </c>
      <c r="K915" t="s">
        <v>85</v>
      </c>
    </row>
    <row r="916" spans="1:11" x14ac:dyDescent="0.45">
      <c r="A916" t="s">
        <v>90</v>
      </c>
      <c r="B916" t="s">
        <v>5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2055</v>
      </c>
      <c r="J916">
        <v>1.635E-2</v>
      </c>
      <c r="K916" t="s">
        <v>85</v>
      </c>
    </row>
    <row r="917" spans="1:11" x14ac:dyDescent="0.45">
      <c r="A917" t="s">
        <v>90</v>
      </c>
      <c r="B917" t="s">
        <v>2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2055</v>
      </c>
      <c r="J917">
        <v>2.3400000000000001E-2</v>
      </c>
      <c r="K917" t="s">
        <v>85</v>
      </c>
    </row>
    <row r="918" spans="1:11" x14ac:dyDescent="0.45">
      <c r="A918" t="s">
        <v>90</v>
      </c>
      <c r="B918" t="s">
        <v>1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2055</v>
      </c>
      <c r="J918">
        <v>3.32E-2</v>
      </c>
      <c r="K918" t="s">
        <v>85</v>
      </c>
    </row>
    <row r="919" spans="1:11" x14ac:dyDescent="0.45">
      <c r="A919" t="s">
        <v>90</v>
      </c>
      <c r="B919" t="s">
        <v>3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2060</v>
      </c>
      <c r="J919">
        <v>4.2300000000000004E-2</v>
      </c>
      <c r="K919" t="s">
        <v>85</v>
      </c>
    </row>
    <row r="920" spans="1:11" x14ac:dyDescent="0.45">
      <c r="A920" t="s">
        <v>90</v>
      </c>
      <c r="B920" t="s">
        <v>4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2060</v>
      </c>
      <c r="J920">
        <v>1.8749999999999999E-2</v>
      </c>
      <c r="K920" t="s">
        <v>85</v>
      </c>
    </row>
    <row r="921" spans="1:11" x14ac:dyDescent="0.45">
      <c r="A921" t="s">
        <v>90</v>
      </c>
      <c r="B921" t="s">
        <v>0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2060</v>
      </c>
      <c r="J921">
        <v>4.0349999999999997E-2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3.78E-2</v>
      </c>
      <c r="K922" t="s">
        <v>85</v>
      </c>
    </row>
    <row r="923" spans="1:11" x14ac:dyDescent="0.45">
      <c r="A923" t="s">
        <v>90</v>
      </c>
      <c r="B923" t="s">
        <v>5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2060</v>
      </c>
      <c r="J923">
        <v>1.7649999999999999E-2</v>
      </c>
      <c r="K923" t="s">
        <v>85</v>
      </c>
    </row>
    <row r="924" spans="1:11" x14ac:dyDescent="0.45">
      <c r="A924" t="s">
        <v>90</v>
      </c>
      <c r="B924" t="s">
        <v>2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2060</v>
      </c>
      <c r="J924">
        <v>2.8299999999999999E-2</v>
      </c>
      <c r="K924" t="s">
        <v>85</v>
      </c>
    </row>
    <row r="925" spans="1:11" x14ac:dyDescent="0.45">
      <c r="A925" t="s">
        <v>90</v>
      </c>
      <c r="B925" t="s">
        <v>1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2060</v>
      </c>
      <c r="J925">
        <v>3.9849999999999997E-2</v>
      </c>
      <c r="K925" t="s">
        <v>85</v>
      </c>
    </row>
    <row r="926" spans="1:11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2065</v>
      </c>
      <c r="J926">
        <v>4.7500000000000001E-2</v>
      </c>
      <c r="K926" t="s">
        <v>85</v>
      </c>
    </row>
    <row r="927" spans="1:11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2065</v>
      </c>
      <c r="J927">
        <v>1.9349999999999999E-2</v>
      </c>
      <c r="K927" t="s">
        <v>85</v>
      </c>
    </row>
    <row r="928" spans="1:11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2065</v>
      </c>
      <c r="J928">
        <v>4.1450000000000001E-2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2065</v>
      </c>
      <c r="J929">
        <v>4.0400000000000005E-2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2065</v>
      </c>
      <c r="J930">
        <v>1.67E-2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2065</v>
      </c>
      <c r="J931">
        <v>5.1049999999999998E-2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2065</v>
      </c>
      <c r="J932">
        <v>4.19E-2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2070</v>
      </c>
      <c r="J933">
        <v>4.8049999999999995E-2</v>
      </c>
      <c r="K933" t="s">
        <v>85</v>
      </c>
    </row>
    <row r="934" spans="1:11" x14ac:dyDescent="0.45">
      <c r="A934" t="s">
        <v>90</v>
      </c>
      <c r="B934" t="s">
        <v>4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2070</v>
      </c>
      <c r="J934">
        <v>1.9749999999999997E-2</v>
      </c>
      <c r="K934" t="s">
        <v>85</v>
      </c>
    </row>
    <row r="935" spans="1:11" x14ac:dyDescent="0.45">
      <c r="A935" t="s">
        <v>90</v>
      </c>
      <c r="B935" t="s">
        <v>0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2070</v>
      </c>
      <c r="J935">
        <v>4.0400000000000005E-2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2070</v>
      </c>
      <c r="J936">
        <v>3.9750000000000001E-2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2070</v>
      </c>
      <c r="J937">
        <v>1.5800000000000002E-2</v>
      </c>
      <c r="K937" t="s">
        <v>85</v>
      </c>
    </row>
    <row r="938" spans="1:11" x14ac:dyDescent="0.45">
      <c r="A938" t="s">
        <v>90</v>
      </c>
      <c r="B938" t="s">
        <v>2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2070</v>
      </c>
      <c r="J938">
        <v>6.6650000000000001E-2</v>
      </c>
      <c r="K938" t="s">
        <v>85</v>
      </c>
    </row>
    <row r="939" spans="1:11" x14ac:dyDescent="0.45">
      <c r="A939" t="s">
        <v>90</v>
      </c>
      <c r="B939" t="s">
        <v>1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2070</v>
      </c>
      <c r="J939">
        <v>4.3549999999999998E-2</v>
      </c>
      <c r="K939" t="s">
        <v>85</v>
      </c>
    </row>
    <row r="940" spans="1:11" x14ac:dyDescent="0.45">
      <c r="A940" t="s">
        <v>90</v>
      </c>
      <c r="B940" t="s">
        <v>3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2075</v>
      </c>
      <c r="J940">
        <v>5.1000000000000004E-2</v>
      </c>
      <c r="K940" t="s">
        <v>85</v>
      </c>
    </row>
    <row r="941" spans="1:11" x14ac:dyDescent="0.45">
      <c r="A941" t="s">
        <v>90</v>
      </c>
      <c r="B941" t="s">
        <v>4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2075</v>
      </c>
      <c r="J941">
        <v>2.1999999999999999E-2</v>
      </c>
      <c r="K941" t="s">
        <v>85</v>
      </c>
    </row>
    <row r="942" spans="1:11" x14ac:dyDescent="0.45">
      <c r="A942" t="s">
        <v>90</v>
      </c>
      <c r="B942" t="s">
        <v>0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4.4450000000000003E-2</v>
      </c>
      <c r="K942" t="s">
        <v>85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2075</v>
      </c>
      <c r="J943">
        <v>4.41E-2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2075</v>
      </c>
      <c r="J944">
        <v>1.435E-2</v>
      </c>
      <c r="K944" t="s">
        <v>85</v>
      </c>
    </row>
    <row r="945" spans="1:11" x14ac:dyDescent="0.45">
      <c r="A945" t="s">
        <v>90</v>
      </c>
      <c r="B945" t="s">
        <v>2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2075</v>
      </c>
      <c r="J945">
        <v>7.425000000000001E-2</v>
      </c>
      <c r="K945" t="s">
        <v>85</v>
      </c>
    </row>
    <row r="946" spans="1:11" x14ac:dyDescent="0.45">
      <c r="A946" t="s">
        <v>90</v>
      </c>
      <c r="B946" t="s">
        <v>1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2075</v>
      </c>
      <c r="J946">
        <v>4.8750000000000002E-2</v>
      </c>
      <c r="K946" t="s">
        <v>85</v>
      </c>
    </row>
    <row r="947" spans="1:11" x14ac:dyDescent="0.45">
      <c r="A947" t="s">
        <v>90</v>
      </c>
      <c r="B947" t="s">
        <v>3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2080</v>
      </c>
      <c r="J947">
        <v>4.8149999999999998E-2</v>
      </c>
      <c r="K947" t="s">
        <v>85</v>
      </c>
    </row>
    <row r="948" spans="1:11" x14ac:dyDescent="0.45">
      <c r="A948" t="s">
        <v>90</v>
      </c>
      <c r="B948" t="s">
        <v>4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2080</v>
      </c>
      <c r="J948">
        <v>2.4399999999999998E-2</v>
      </c>
      <c r="K948" t="s">
        <v>85</v>
      </c>
    </row>
    <row r="949" spans="1:11" x14ac:dyDescent="0.45">
      <c r="A949" t="s">
        <v>90</v>
      </c>
      <c r="B949" t="s">
        <v>0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2080</v>
      </c>
      <c r="J949">
        <v>4.8549999999999996E-2</v>
      </c>
      <c r="K949" t="s">
        <v>85</v>
      </c>
    </row>
    <row r="950" spans="1:11" x14ac:dyDescent="0.45">
      <c r="A950" t="s">
        <v>90</v>
      </c>
      <c r="B950" t="s">
        <v>6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2080</v>
      </c>
      <c r="J950">
        <v>4.5450000000000004E-2</v>
      </c>
      <c r="K950" t="s">
        <v>85</v>
      </c>
    </row>
    <row r="951" spans="1:11" x14ac:dyDescent="0.45">
      <c r="A951" t="s">
        <v>90</v>
      </c>
      <c r="B951" t="s">
        <v>5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2080</v>
      </c>
      <c r="J951">
        <v>1.285E-2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2080</v>
      </c>
      <c r="J952">
        <v>7.7499999999999999E-2</v>
      </c>
      <c r="K952" t="s">
        <v>85</v>
      </c>
    </row>
    <row r="953" spans="1:11" x14ac:dyDescent="0.45">
      <c r="A953" t="s">
        <v>90</v>
      </c>
      <c r="B953" t="s">
        <v>1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2080</v>
      </c>
      <c r="J953">
        <v>5.3599999999999995E-2</v>
      </c>
      <c r="K953" t="s">
        <v>85</v>
      </c>
    </row>
    <row r="954" spans="1:11" x14ac:dyDescent="0.45">
      <c r="A954" t="s">
        <v>90</v>
      </c>
      <c r="B954" t="s">
        <v>3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2085</v>
      </c>
      <c r="J954">
        <v>4.6199999999999998E-2</v>
      </c>
      <c r="K954" t="s">
        <v>85</v>
      </c>
    </row>
    <row r="955" spans="1:11" x14ac:dyDescent="0.45">
      <c r="A955" t="s">
        <v>90</v>
      </c>
      <c r="B955" t="s">
        <v>4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2085</v>
      </c>
      <c r="J955">
        <v>3.125E-2</v>
      </c>
      <c r="K955" t="s">
        <v>85</v>
      </c>
    </row>
    <row r="956" spans="1:11" x14ac:dyDescent="0.45">
      <c r="A956" t="s">
        <v>90</v>
      </c>
      <c r="B956" t="s">
        <v>0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2085</v>
      </c>
      <c r="J956">
        <v>5.0849999999999999E-2</v>
      </c>
      <c r="K956" t="s">
        <v>85</v>
      </c>
    </row>
    <row r="957" spans="1:11" x14ac:dyDescent="0.45">
      <c r="A957" t="s">
        <v>90</v>
      </c>
      <c r="B957" t="s">
        <v>6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2085</v>
      </c>
      <c r="J957">
        <v>4.7E-2</v>
      </c>
      <c r="K957" t="s">
        <v>85</v>
      </c>
    </row>
    <row r="958" spans="1:11" x14ac:dyDescent="0.45">
      <c r="A958" t="s">
        <v>90</v>
      </c>
      <c r="B958" t="s">
        <v>5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2085</v>
      </c>
      <c r="J958">
        <v>1.285E-2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2085</v>
      </c>
      <c r="J959">
        <v>7.7800000000000008E-2</v>
      </c>
      <c r="K959" t="s">
        <v>85</v>
      </c>
    </row>
    <row r="960" spans="1:11" x14ac:dyDescent="0.45">
      <c r="A960" t="s">
        <v>90</v>
      </c>
      <c r="B960" t="s">
        <v>1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2085</v>
      </c>
      <c r="J960">
        <v>5.7499999999999996E-2</v>
      </c>
      <c r="K960" t="s">
        <v>85</v>
      </c>
    </row>
    <row r="961" spans="1:11" x14ac:dyDescent="0.45">
      <c r="A961" t="s">
        <v>90</v>
      </c>
      <c r="B961" t="s">
        <v>3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2090</v>
      </c>
      <c r="J961">
        <v>4.2700000000000002E-2</v>
      </c>
      <c r="K961" t="s">
        <v>85</v>
      </c>
    </row>
    <row r="962" spans="1:11" x14ac:dyDescent="0.45">
      <c r="A962" t="s">
        <v>90</v>
      </c>
      <c r="B962" t="s">
        <v>4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3.8100000000000002E-2</v>
      </c>
      <c r="K962" t="s">
        <v>85</v>
      </c>
    </row>
    <row r="963" spans="1:11" x14ac:dyDescent="0.45">
      <c r="A963" t="s">
        <v>90</v>
      </c>
      <c r="B963" t="s">
        <v>0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2090</v>
      </c>
      <c r="J963">
        <v>5.3249999999999999E-2</v>
      </c>
      <c r="K963" t="s">
        <v>85</v>
      </c>
    </row>
    <row r="964" spans="1:11" x14ac:dyDescent="0.45">
      <c r="A964" t="s">
        <v>90</v>
      </c>
      <c r="B964" t="s">
        <v>6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2090</v>
      </c>
      <c r="J964">
        <v>4.65E-2</v>
      </c>
      <c r="K964" t="s">
        <v>85</v>
      </c>
    </row>
    <row r="965" spans="1:11" x14ac:dyDescent="0.45">
      <c r="A965" t="s">
        <v>90</v>
      </c>
      <c r="B965" t="s">
        <v>5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2090</v>
      </c>
      <c r="J965">
        <v>1.2799999999999999E-2</v>
      </c>
      <c r="K965" t="s">
        <v>85</v>
      </c>
    </row>
    <row r="966" spans="1:11" x14ac:dyDescent="0.45">
      <c r="A966" t="s">
        <v>90</v>
      </c>
      <c r="B966" t="s">
        <v>2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2090</v>
      </c>
      <c r="J966">
        <v>7.6350000000000001E-2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2090</v>
      </c>
      <c r="J967">
        <v>0.06</v>
      </c>
      <c r="K967" t="s">
        <v>85</v>
      </c>
    </row>
    <row r="968" spans="1:11" x14ac:dyDescent="0.45">
      <c r="A968" t="s">
        <v>90</v>
      </c>
      <c r="B968" t="s">
        <v>3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2095</v>
      </c>
      <c r="J968">
        <v>3.8849999999999996E-2</v>
      </c>
      <c r="K968" t="s">
        <v>85</v>
      </c>
    </row>
    <row r="969" spans="1:11" x14ac:dyDescent="0.45">
      <c r="A969" t="s">
        <v>90</v>
      </c>
      <c r="B969" t="s">
        <v>4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2095</v>
      </c>
      <c r="J969">
        <v>5.3600000000000002E-2</v>
      </c>
      <c r="K969" t="s">
        <v>85</v>
      </c>
    </row>
    <row r="970" spans="1:11" x14ac:dyDescent="0.45">
      <c r="A970" t="s">
        <v>90</v>
      </c>
      <c r="B970" t="s">
        <v>0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2095</v>
      </c>
      <c r="J970">
        <v>5.1699999999999996E-2</v>
      </c>
      <c r="K970" t="s">
        <v>85</v>
      </c>
    </row>
    <row r="971" spans="1:11" x14ac:dyDescent="0.45">
      <c r="A971" t="s">
        <v>90</v>
      </c>
      <c r="B971" t="s">
        <v>6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2095</v>
      </c>
      <c r="J971">
        <v>4.5149999999999996E-2</v>
      </c>
      <c r="K971" t="s">
        <v>85</v>
      </c>
    </row>
    <row r="972" spans="1:11" x14ac:dyDescent="0.45">
      <c r="A972" t="s">
        <v>90</v>
      </c>
      <c r="B972" t="s">
        <v>5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2095</v>
      </c>
      <c r="J972">
        <v>1.49E-2</v>
      </c>
      <c r="K972" t="s">
        <v>85</v>
      </c>
    </row>
    <row r="973" spans="1:11" x14ac:dyDescent="0.45">
      <c r="A973" t="s">
        <v>90</v>
      </c>
      <c r="B973" t="s">
        <v>2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2095</v>
      </c>
      <c r="J973">
        <v>7.4399999999999994E-2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2095</v>
      </c>
      <c r="J974">
        <v>5.7950000000000002E-2</v>
      </c>
      <c r="K974" t="s">
        <v>85</v>
      </c>
    </row>
    <row r="975" spans="1:11" x14ac:dyDescent="0.45">
      <c r="A975" t="s">
        <v>90</v>
      </c>
      <c r="B975" t="s">
        <v>3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2100</v>
      </c>
      <c r="J975">
        <v>3.4450000000000001E-2</v>
      </c>
      <c r="K975" t="s">
        <v>85</v>
      </c>
    </row>
    <row r="976" spans="1:11" x14ac:dyDescent="0.45">
      <c r="A976" t="s">
        <v>90</v>
      </c>
      <c r="B976" t="s">
        <v>4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2100</v>
      </c>
      <c r="J976">
        <v>6.795000000000001E-2</v>
      </c>
      <c r="K976" t="s">
        <v>85</v>
      </c>
    </row>
    <row r="977" spans="1:11" x14ac:dyDescent="0.45">
      <c r="A977" t="s">
        <v>90</v>
      </c>
      <c r="B977" t="s">
        <v>0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2100</v>
      </c>
      <c r="J977">
        <v>4.9850000000000005E-2</v>
      </c>
      <c r="K977" t="s">
        <v>85</v>
      </c>
    </row>
    <row r="978" spans="1:11" x14ac:dyDescent="0.45">
      <c r="A978" t="s">
        <v>90</v>
      </c>
      <c r="B978" t="s">
        <v>6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2100</v>
      </c>
      <c r="J978">
        <v>4.3399999999999994E-2</v>
      </c>
      <c r="K978" t="s">
        <v>85</v>
      </c>
    </row>
    <row r="979" spans="1:11" x14ac:dyDescent="0.45">
      <c r="A979" t="s">
        <v>90</v>
      </c>
      <c r="B979" t="s">
        <v>5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2100</v>
      </c>
      <c r="J979">
        <v>1.6549999999999999E-2</v>
      </c>
      <c r="K979" t="s">
        <v>85</v>
      </c>
    </row>
    <row r="980" spans="1:11" x14ac:dyDescent="0.45">
      <c r="A980" t="s">
        <v>90</v>
      </c>
      <c r="B980" t="s">
        <v>2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2100</v>
      </c>
      <c r="J980">
        <v>7.1300000000000002E-2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5.5500000000000001E-2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2020</v>
      </c>
      <c r="J983">
        <v>0</v>
      </c>
      <c r="K983" t="s">
        <v>45</v>
      </c>
    </row>
    <row r="984" spans="1:11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2020</v>
      </c>
      <c r="J984">
        <v>0</v>
      </c>
      <c r="K984" t="s">
        <v>45</v>
      </c>
    </row>
    <row r="985" spans="1:11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2020</v>
      </c>
      <c r="J985">
        <v>0</v>
      </c>
      <c r="K985" t="s">
        <v>45</v>
      </c>
    </row>
    <row r="986" spans="1:11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2020</v>
      </c>
      <c r="J986">
        <v>0</v>
      </c>
      <c r="K986" t="s">
        <v>45</v>
      </c>
    </row>
    <row r="987" spans="1:11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2020</v>
      </c>
      <c r="J987">
        <v>0</v>
      </c>
      <c r="K987" t="s">
        <v>45</v>
      </c>
    </row>
    <row r="988" spans="1:11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2020</v>
      </c>
      <c r="J988">
        <v>0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2025</v>
      </c>
      <c r="J989">
        <v>0</v>
      </c>
      <c r="K989" t="s">
        <v>45</v>
      </c>
    </row>
    <row r="990" spans="1:11" x14ac:dyDescent="0.45">
      <c r="A990" t="s">
        <v>90</v>
      </c>
      <c r="B990" t="s">
        <v>4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2025</v>
      </c>
      <c r="J990">
        <v>0</v>
      </c>
      <c r="K990" t="s">
        <v>45</v>
      </c>
    </row>
    <row r="991" spans="1:11" x14ac:dyDescent="0.45">
      <c r="A991" t="s">
        <v>90</v>
      </c>
      <c r="B991" t="s">
        <v>0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2025</v>
      </c>
      <c r="J991">
        <v>0</v>
      </c>
      <c r="K991" t="s">
        <v>45</v>
      </c>
    </row>
    <row r="992" spans="1:11" x14ac:dyDescent="0.45">
      <c r="A992" t="s">
        <v>90</v>
      </c>
      <c r="B992" t="s">
        <v>6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2025</v>
      </c>
      <c r="J992">
        <v>0</v>
      </c>
      <c r="K992" t="s">
        <v>45</v>
      </c>
    </row>
    <row r="993" spans="1:11" x14ac:dyDescent="0.45">
      <c r="A993" t="s">
        <v>90</v>
      </c>
      <c r="B993" t="s">
        <v>5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2025</v>
      </c>
      <c r="J993">
        <v>0</v>
      </c>
      <c r="K993" t="s">
        <v>45</v>
      </c>
    </row>
    <row r="994" spans="1:11" x14ac:dyDescent="0.45">
      <c r="A994" t="s">
        <v>90</v>
      </c>
      <c r="B994" t="s">
        <v>2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2025</v>
      </c>
      <c r="J994">
        <v>0</v>
      </c>
      <c r="K994" t="s">
        <v>45</v>
      </c>
    </row>
    <row r="995" spans="1:11" x14ac:dyDescent="0.45">
      <c r="A995" t="s">
        <v>90</v>
      </c>
      <c r="B995" t="s">
        <v>1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2025</v>
      </c>
      <c r="J995">
        <v>0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2030</v>
      </c>
      <c r="J996">
        <v>0.13250000000000001</v>
      </c>
      <c r="K996" t="s">
        <v>45</v>
      </c>
    </row>
    <row r="997" spans="1:11" x14ac:dyDescent="0.45">
      <c r="A997" t="s">
        <v>90</v>
      </c>
      <c r="B997" t="s">
        <v>4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2030</v>
      </c>
      <c r="J997">
        <v>0</v>
      </c>
      <c r="K997" t="s">
        <v>45</v>
      </c>
    </row>
    <row r="998" spans="1:11" x14ac:dyDescent="0.45">
      <c r="A998" t="s">
        <v>90</v>
      </c>
      <c r="B998" t="s">
        <v>0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2030</v>
      </c>
      <c r="J998">
        <v>0</v>
      </c>
      <c r="K998" t="s">
        <v>45</v>
      </c>
    </row>
    <row r="999" spans="1:11" x14ac:dyDescent="0.45">
      <c r="A999" t="s">
        <v>90</v>
      </c>
      <c r="B999" t="s">
        <v>6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2030</v>
      </c>
      <c r="J999">
        <v>0</v>
      </c>
      <c r="K999" t="s">
        <v>45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2030</v>
      </c>
      <c r="J1000">
        <v>0.1477</v>
      </c>
      <c r="K1000" t="s">
        <v>45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0</v>
      </c>
      <c r="K1001" t="s">
        <v>45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2030</v>
      </c>
      <c r="J1002">
        <v>0.46235000000000004</v>
      </c>
      <c r="K1002" t="s">
        <v>45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2035</v>
      </c>
      <c r="J1003">
        <v>0.70065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2035</v>
      </c>
      <c r="J1004">
        <v>0</v>
      </c>
      <c r="K1004" t="s">
        <v>45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2035</v>
      </c>
      <c r="J1005">
        <v>2.2500000000000003E-3</v>
      </c>
      <c r="K1005" t="s">
        <v>45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2035</v>
      </c>
      <c r="J1006">
        <v>2.4999999999999996E-3</v>
      </c>
      <c r="K1006" t="s">
        <v>45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2035</v>
      </c>
      <c r="J1007">
        <v>0.8236</v>
      </c>
      <c r="K1007" t="s">
        <v>45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2035</v>
      </c>
      <c r="J1008">
        <v>2.9999999999999997E-4</v>
      </c>
      <c r="K1008" t="s">
        <v>45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2035</v>
      </c>
      <c r="J1009">
        <v>4.4649999999999999</v>
      </c>
      <c r="K1009" t="s">
        <v>45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2040</v>
      </c>
      <c r="J1010">
        <v>2.1023000000000001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2040</v>
      </c>
      <c r="J1011">
        <v>0</v>
      </c>
      <c r="K1011" t="s">
        <v>45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2040</v>
      </c>
      <c r="J1012">
        <v>0.41844999999999999</v>
      </c>
      <c r="K1012" t="s">
        <v>45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2040</v>
      </c>
      <c r="J1013">
        <v>8.1199999999999994E-2</v>
      </c>
      <c r="K1013" t="s">
        <v>45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2040</v>
      </c>
      <c r="J1014">
        <v>1.8891499999999999</v>
      </c>
      <c r="K1014" t="s">
        <v>45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2040</v>
      </c>
      <c r="J1015">
        <v>1.4499999999999999E-3</v>
      </c>
      <c r="K1015" t="s">
        <v>45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2040</v>
      </c>
      <c r="J1016">
        <v>9.0425500000000003</v>
      </c>
      <c r="K1016" t="s">
        <v>45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2045</v>
      </c>
      <c r="J1017">
        <v>5.0650999999999993</v>
      </c>
      <c r="K1017" t="s">
        <v>45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2045</v>
      </c>
      <c r="J1018">
        <v>0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2045</v>
      </c>
      <c r="J1019">
        <v>2.0730500000000003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2045</v>
      </c>
      <c r="J1020">
        <v>0.23139999999999999</v>
      </c>
      <c r="K1020" t="s">
        <v>45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3.1650499999999999</v>
      </c>
      <c r="K1021" t="s">
        <v>45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2045</v>
      </c>
      <c r="J1022">
        <v>5.0000000000000001E-3</v>
      </c>
      <c r="K1022" t="s">
        <v>45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2045</v>
      </c>
      <c r="J1023">
        <v>12.44885</v>
      </c>
      <c r="K1023" t="s">
        <v>45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2050</v>
      </c>
      <c r="J1024">
        <v>8.5510999999999999</v>
      </c>
      <c r="K1024" t="s">
        <v>45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2050</v>
      </c>
      <c r="J1025">
        <v>0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2050</v>
      </c>
      <c r="J1026">
        <v>3.7929500000000003</v>
      </c>
      <c r="K1026" t="s">
        <v>45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2050</v>
      </c>
      <c r="J1027">
        <v>0.65555000000000008</v>
      </c>
      <c r="K1027" t="s">
        <v>45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2050</v>
      </c>
      <c r="J1028">
        <v>4.33535</v>
      </c>
      <c r="K1028" t="s">
        <v>45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2050</v>
      </c>
      <c r="J1029">
        <v>6.7000000000000002E-3</v>
      </c>
      <c r="K1029" t="s">
        <v>45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2050</v>
      </c>
      <c r="J1030">
        <v>13.8063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2055</v>
      </c>
      <c r="J1031">
        <v>9.8981999999999992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2055</v>
      </c>
      <c r="J1032">
        <v>0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2055</v>
      </c>
      <c r="J1033">
        <v>3.9466999999999999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2055</v>
      </c>
      <c r="J1034">
        <v>5.4467999999999996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2055</v>
      </c>
      <c r="J1035">
        <v>4.6844000000000001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2055</v>
      </c>
      <c r="J1036">
        <v>9.8500000000000011E-3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2055</v>
      </c>
      <c r="J1037">
        <v>14.00215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2060</v>
      </c>
      <c r="J1038">
        <v>7.8199499999999995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2060</v>
      </c>
      <c r="J1039">
        <v>0</v>
      </c>
      <c r="K1039" t="s">
        <v>45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2060</v>
      </c>
      <c r="J1040">
        <v>4.0647000000000002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6.8356999999999992</v>
      </c>
      <c r="K1041" t="s">
        <v>45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2060</v>
      </c>
      <c r="J1042">
        <v>5.7951499999999996</v>
      </c>
      <c r="K1042" t="s">
        <v>45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2060</v>
      </c>
      <c r="J1043">
        <v>1.2E-2</v>
      </c>
      <c r="K1043" t="s">
        <v>45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2060</v>
      </c>
      <c r="J1044">
        <v>13.262449999999999</v>
      </c>
      <c r="K1044" t="s">
        <v>45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2065</v>
      </c>
      <c r="J1045">
        <v>6.3666499999999999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2065</v>
      </c>
      <c r="J1046">
        <v>0</v>
      </c>
      <c r="K1046" t="s">
        <v>45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2065</v>
      </c>
      <c r="J1047">
        <v>4.5696000000000003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2065</v>
      </c>
      <c r="J1048">
        <v>5.9685500000000005</v>
      </c>
      <c r="K1048" t="s">
        <v>45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2065</v>
      </c>
      <c r="J1049">
        <v>6.2720000000000002</v>
      </c>
      <c r="K1049" t="s">
        <v>45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2065</v>
      </c>
      <c r="J1050">
        <v>1.585E-2</v>
      </c>
      <c r="K1050" t="s">
        <v>45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2065</v>
      </c>
      <c r="J1051">
        <v>12.3996</v>
      </c>
      <c r="K1051" t="s">
        <v>45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2070</v>
      </c>
      <c r="J1052">
        <v>4.8231999999999999</v>
      </c>
      <c r="K1052" t="s">
        <v>45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2070</v>
      </c>
      <c r="J1053">
        <v>0</v>
      </c>
      <c r="K1053" t="s">
        <v>45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2070</v>
      </c>
      <c r="J1054">
        <v>5.1658499999999998</v>
      </c>
      <c r="K1054" t="s">
        <v>45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2070</v>
      </c>
      <c r="J1055">
        <v>5.1781499999999996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2070</v>
      </c>
      <c r="J1056">
        <v>6.7835000000000001</v>
      </c>
      <c r="K1056" t="s">
        <v>45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2070</v>
      </c>
      <c r="J1057">
        <v>1.8599999999999998E-2</v>
      </c>
      <c r="K1057" t="s">
        <v>45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2070</v>
      </c>
      <c r="J1058">
        <v>12.2028</v>
      </c>
      <c r="K1058" t="s">
        <v>45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2075</v>
      </c>
      <c r="J1059">
        <v>3.4128499999999997</v>
      </c>
      <c r="K1059" t="s">
        <v>45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2075</v>
      </c>
      <c r="J1060">
        <v>0</v>
      </c>
      <c r="K1060" t="s">
        <v>45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5.2285500000000003</v>
      </c>
      <c r="K1061" t="s">
        <v>45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2075</v>
      </c>
      <c r="J1062">
        <v>4.1507000000000005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2075</v>
      </c>
      <c r="J1063">
        <v>7.0869</v>
      </c>
      <c r="K1063" t="s">
        <v>45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2075</v>
      </c>
      <c r="J1064">
        <v>2.3149999999999997E-2</v>
      </c>
      <c r="K1064" t="s">
        <v>45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2075</v>
      </c>
      <c r="J1065">
        <v>11.28585</v>
      </c>
      <c r="K1065" t="s">
        <v>45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2080</v>
      </c>
      <c r="J1066">
        <v>1.9933000000000001</v>
      </c>
      <c r="K1066" t="s">
        <v>45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2080</v>
      </c>
      <c r="J1067">
        <v>0</v>
      </c>
      <c r="K1067" t="s">
        <v>45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2080</v>
      </c>
      <c r="J1068">
        <v>5.30145</v>
      </c>
      <c r="K1068" t="s">
        <v>45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2080</v>
      </c>
      <c r="J1069">
        <v>3.1392500000000001</v>
      </c>
      <c r="K1069" t="s">
        <v>45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2080</v>
      </c>
      <c r="J1070">
        <v>7.3611500000000003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2080</v>
      </c>
      <c r="J1071">
        <v>1.9950000000000002E-2</v>
      </c>
      <c r="K1071" t="s">
        <v>45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2080</v>
      </c>
      <c r="J1072">
        <v>8.2821999999999996</v>
      </c>
      <c r="K1072" t="s">
        <v>45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2085</v>
      </c>
      <c r="J1073">
        <v>1.27915</v>
      </c>
      <c r="K1073" t="s">
        <v>45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2085</v>
      </c>
      <c r="J1074">
        <v>0</v>
      </c>
      <c r="K1074" t="s">
        <v>45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2085</v>
      </c>
      <c r="J1075">
        <v>4.4840999999999998</v>
      </c>
      <c r="K1075" t="s">
        <v>45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2085</v>
      </c>
      <c r="J1076">
        <v>2.1858</v>
      </c>
      <c r="K1076" t="s">
        <v>45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2085</v>
      </c>
      <c r="J1077">
        <v>7.3117000000000001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2085</v>
      </c>
      <c r="J1078">
        <v>1.2150000000000001E-2</v>
      </c>
      <c r="K1078" t="s">
        <v>45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2085</v>
      </c>
      <c r="J1079">
        <v>6.9209499999999995</v>
      </c>
      <c r="K1079" t="s">
        <v>45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2090</v>
      </c>
      <c r="J1080">
        <v>0.54469999999999996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</v>
      </c>
      <c r="K1081" t="s">
        <v>45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2090</v>
      </c>
      <c r="J1082">
        <v>3.61435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2090</v>
      </c>
      <c r="J1083">
        <v>1.2096499999999999</v>
      </c>
      <c r="K1083" t="s">
        <v>45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2090</v>
      </c>
      <c r="J1084">
        <v>7.2489499999999998</v>
      </c>
      <c r="K1084" t="s">
        <v>45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2090</v>
      </c>
      <c r="J1085">
        <v>4.0499999999999998E-3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2090</v>
      </c>
      <c r="J1086">
        <v>5.4736500000000001</v>
      </c>
      <c r="K1086" t="s">
        <v>45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2095</v>
      </c>
      <c r="J1087">
        <v>0.36209999999999998</v>
      </c>
      <c r="K1087" t="s">
        <v>45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2095</v>
      </c>
      <c r="J1088">
        <v>0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2095</v>
      </c>
      <c r="J1089">
        <v>2.8977500000000003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2095</v>
      </c>
      <c r="J1090">
        <v>0.72760000000000002</v>
      </c>
      <c r="K1090" t="s">
        <v>45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2095</v>
      </c>
      <c r="J1091">
        <v>6.7489500000000007</v>
      </c>
      <c r="K1091" t="s">
        <v>45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2095</v>
      </c>
      <c r="J1092">
        <v>2.15E-3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2095</v>
      </c>
      <c r="J1093">
        <v>4.5164000000000009</v>
      </c>
      <c r="K1093" t="s">
        <v>45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2100</v>
      </c>
      <c r="J1094">
        <v>0.16894999999999999</v>
      </c>
      <c r="K1094" t="s">
        <v>45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2100</v>
      </c>
      <c r="J1095">
        <v>0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2100</v>
      </c>
      <c r="J1096">
        <v>2.0674000000000001</v>
      </c>
      <c r="K1096" t="s">
        <v>45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2100</v>
      </c>
      <c r="J1097">
        <v>0.24285000000000001</v>
      </c>
      <c r="K1097" t="s">
        <v>45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2100</v>
      </c>
      <c r="J1098">
        <v>6.2336999999999998</v>
      </c>
      <c r="K1098" t="s">
        <v>45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2100</v>
      </c>
      <c r="J1099">
        <v>0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3.5046499999999998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5.2197499999999994</v>
      </c>
      <c r="K1101" t="s">
        <v>48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2020</v>
      </c>
      <c r="J1102">
        <v>5.3072499999999998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2020</v>
      </c>
      <c r="J1103">
        <v>5.2543500000000005</v>
      </c>
      <c r="K1103" t="s">
        <v>48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2020</v>
      </c>
      <c r="J1104">
        <v>5.1782000000000004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2020</v>
      </c>
      <c r="J1105">
        <v>5.2208000000000006</v>
      </c>
      <c r="K1105" t="s">
        <v>48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2020</v>
      </c>
      <c r="J1106">
        <v>5.3536999999999999</v>
      </c>
      <c r="K1106" t="s">
        <v>48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2020</v>
      </c>
      <c r="J1107">
        <v>5.2523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2025</v>
      </c>
      <c r="J1108">
        <v>6.0416000000000007</v>
      </c>
      <c r="K1108" t="s">
        <v>48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2025</v>
      </c>
      <c r="J1109">
        <v>5.9376499999999997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2025</v>
      </c>
      <c r="J1110">
        <v>6.0868500000000001</v>
      </c>
      <c r="K1110" t="s">
        <v>48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2025</v>
      </c>
      <c r="J1111">
        <v>5.8530499999999996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2025</v>
      </c>
      <c r="J1112">
        <v>5.6647999999999996</v>
      </c>
      <c r="K1112" t="s">
        <v>48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2025</v>
      </c>
      <c r="J1113">
        <v>6.2750500000000002</v>
      </c>
      <c r="K1113" t="s">
        <v>48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2025</v>
      </c>
      <c r="J1114">
        <v>6.5248000000000008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2030</v>
      </c>
      <c r="J1115">
        <v>7.4811999999999994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2030</v>
      </c>
      <c r="J1116">
        <v>7.8449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2030</v>
      </c>
      <c r="J1117">
        <v>8.4654500000000006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2030</v>
      </c>
      <c r="J1118">
        <v>8.0840500000000013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2030</v>
      </c>
      <c r="J1119">
        <v>5.8359500000000004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8.3181499999999993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2030</v>
      </c>
      <c r="J1121">
        <v>7.8542000000000005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2035</v>
      </c>
      <c r="J1122">
        <v>9.7433499999999995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2035</v>
      </c>
      <c r="J1123">
        <v>10.50235</v>
      </c>
      <c r="K1123" t="s">
        <v>48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2035</v>
      </c>
      <c r="J1124">
        <v>10.314550000000001</v>
      </c>
      <c r="K1124" t="s">
        <v>48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2035</v>
      </c>
      <c r="J1125">
        <v>11.01755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2035</v>
      </c>
      <c r="J1126">
        <v>6.0388000000000002</v>
      </c>
      <c r="K1126" t="s">
        <v>48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2035</v>
      </c>
      <c r="J1127">
        <v>10.9671</v>
      </c>
      <c r="K1127" t="s">
        <v>48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2035</v>
      </c>
      <c r="J1128">
        <v>8.4392999999999994</v>
      </c>
      <c r="K1128" t="s">
        <v>48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2040</v>
      </c>
      <c r="J1129">
        <v>11.670549999999999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2040</v>
      </c>
      <c r="J1130">
        <v>14.656700000000001</v>
      </c>
      <c r="K1130" t="s">
        <v>48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2040</v>
      </c>
      <c r="J1131">
        <v>11.44125</v>
      </c>
      <c r="K1131" t="s">
        <v>48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2040</v>
      </c>
      <c r="J1132">
        <v>12.8444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2040</v>
      </c>
      <c r="J1133">
        <v>6.2333999999999996</v>
      </c>
      <c r="K1133" t="s">
        <v>48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14.742599999999999</v>
      </c>
      <c r="K1134" t="s">
        <v>48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2040</v>
      </c>
      <c r="J1135">
        <v>8.0441000000000003</v>
      </c>
      <c r="K1135" t="s">
        <v>48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2045</v>
      </c>
      <c r="J1136">
        <v>14.248250000000001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2045</v>
      </c>
      <c r="J1137">
        <v>22.234000000000002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2045</v>
      </c>
      <c r="J1138">
        <v>10.661000000000001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2045</v>
      </c>
      <c r="J1139">
        <v>16.1127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5.1363000000000003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2045</v>
      </c>
      <c r="J1141">
        <v>20.45035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2045</v>
      </c>
      <c r="J1142">
        <v>4.6096000000000004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2050</v>
      </c>
      <c r="J1143">
        <v>18.437150000000003</v>
      </c>
      <c r="K1143" t="s">
        <v>48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2050</v>
      </c>
      <c r="J1144">
        <v>37.602999999999994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2050</v>
      </c>
      <c r="J1145">
        <v>8.9891500000000004</v>
      </c>
      <c r="K1145" t="s">
        <v>48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2050</v>
      </c>
      <c r="J1146">
        <v>21.425550000000001</v>
      </c>
      <c r="K1146" t="s">
        <v>48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2050</v>
      </c>
      <c r="J1147">
        <v>6.8936999999999999</v>
      </c>
      <c r="K1147" t="s">
        <v>48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2050</v>
      </c>
      <c r="J1148">
        <v>29.5977</v>
      </c>
      <c r="K1148" t="s">
        <v>48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2050</v>
      </c>
      <c r="J1149">
        <v>4.1333000000000002</v>
      </c>
      <c r="K1149" t="s">
        <v>48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2055</v>
      </c>
      <c r="J1150">
        <v>15.617049999999999</v>
      </c>
      <c r="K1150" t="s">
        <v>48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2055</v>
      </c>
      <c r="J1151">
        <v>44.72175</v>
      </c>
      <c r="K1151" t="s">
        <v>48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2055</v>
      </c>
      <c r="J1152">
        <v>4.6387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2055</v>
      </c>
      <c r="J1153">
        <v>17.597850000000001</v>
      </c>
      <c r="K1153" t="s">
        <v>48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2055</v>
      </c>
      <c r="J1154">
        <v>4.4318999999999997</v>
      </c>
      <c r="K1154" t="s">
        <v>48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2055</v>
      </c>
      <c r="J1155">
        <v>29.938600000000001</v>
      </c>
      <c r="K1155" t="s">
        <v>48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2055</v>
      </c>
      <c r="J1156">
        <v>3.2256999999999998</v>
      </c>
      <c r="K1156" t="s">
        <v>48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2060</v>
      </c>
      <c r="J1157">
        <v>12.4794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2060</v>
      </c>
      <c r="J1158">
        <v>54.222450000000002</v>
      </c>
      <c r="K1158" t="s">
        <v>48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2060</v>
      </c>
      <c r="J1159">
        <v>0.2661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12.89935</v>
      </c>
      <c r="K1160" t="s">
        <v>48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2060</v>
      </c>
      <c r="J1161">
        <v>3.2868000000000004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2060</v>
      </c>
      <c r="J1162">
        <v>28.915150000000001</v>
      </c>
      <c r="K1162" t="s">
        <v>48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2060</v>
      </c>
      <c r="J1163">
        <v>1.9738</v>
      </c>
      <c r="K1163" t="s">
        <v>48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2065</v>
      </c>
      <c r="J1164">
        <v>10.49225</v>
      </c>
      <c r="K1164" t="s">
        <v>48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2065</v>
      </c>
      <c r="J1165">
        <v>58.110699999999994</v>
      </c>
      <c r="K1165" t="s">
        <v>48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2065</v>
      </c>
      <c r="J1166">
        <v>-2.2185999999999999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2065</v>
      </c>
      <c r="J1167">
        <v>10.7073</v>
      </c>
      <c r="K1167" t="s">
        <v>48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2065</v>
      </c>
      <c r="J1168">
        <v>2.2197499999999999</v>
      </c>
      <c r="K1168" t="s">
        <v>48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2065</v>
      </c>
      <c r="J1169">
        <v>26.737349999999999</v>
      </c>
      <c r="K1169" t="s">
        <v>48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2065</v>
      </c>
      <c r="J1170">
        <v>0.87784999999999991</v>
      </c>
      <c r="K1170" t="s">
        <v>48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2070</v>
      </c>
      <c r="J1171">
        <v>8.1423000000000005</v>
      </c>
      <c r="K1171" t="s">
        <v>48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2070</v>
      </c>
      <c r="J1172">
        <v>61.777249999999995</v>
      </c>
      <c r="K1172" t="s">
        <v>48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2070</v>
      </c>
      <c r="J1173">
        <v>-5.0497499999999995</v>
      </c>
      <c r="K1173" t="s">
        <v>48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2070</v>
      </c>
      <c r="J1174">
        <v>8.3418499999999991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2070</v>
      </c>
      <c r="J1175">
        <v>1.1998500000000001</v>
      </c>
      <c r="K1175" t="s">
        <v>48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2070</v>
      </c>
      <c r="J1176">
        <v>23.532550000000001</v>
      </c>
      <c r="K1176" t="s">
        <v>48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2070</v>
      </c>
      <c r="J1177">
        <v>-0.37095</v>
      </c>
      <c r="K1177" t="s">
        <v>48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2075</v>
      </c>
      <c r="J1178">
        <v>6.0792999999999999</v>
      </c>
      <c r="K1178" t="s">
        <v>48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2075</v>
      </c>
      <c r="J1179">
        <v>63.859949999999998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-5.8952499999999999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2075</v>
      </c>
      <c r="J1181">
        <v>7.0551499999999994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2075</v>
      </c>
      <c r="J1182">
        <v>0.65995000000000004</v>
      </c>
      <c r="K1182" t="s">
        <v>48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2075</v>
      </c>
      <c r="J1183">
        <v>21.404</v>
      </c>
      <c r="K1183" t="s">
        <v>48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2075</v>
      </c>
      <c r="J1184">
        <v>-0.44079999999999997</v>
      </c>
      <c r="K1184" t="s">
        <v>48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2080</v>
      </c>
      <c r="J1185">
        <v>4.0415999999999999</v>
      </c>
      <c r="K1185" t="s">
        <v>48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2080</v>
      </c>
      <c r="J1186">
        <v>65.978800000000007</v>
      </c>
      <c r="K1186" t="s">
        <v>48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2080</v>
      </c>
      <c r="J1187">
        <v>-6.8037999999999998</v>
      </c>
      <c r="K1187" t="s">
        <v>48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2080</v>
      </c>
      <c r="J1188">
        <v>5.7902000000000005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2080</v>
      </c>
      <c r="J1189">
        <v>0.1351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2080</v>
      </c>
      <c r="J1190">
        <v>19.100650000000002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2080</v>
      </c>
      <c r="J1191">
        <v>-0.54644999999999999</v>
      </c>
      <c r="K1191" t="s">
        <v>48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2085</v>
      </c>
      <c r="J1192">
        <v>4.3623500000000002</v>
      </c>
      <c r="K1192" t="s">
        <v>48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2085</v>
      </c>
      <c r="J1193">
        <v>64.795199999999994</v>
      </c>
      <c r="K1193" t="s">
        <v>48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2085</v>
      </c>
      <c r="J1194">
        <v>-5.1300999999999997</v>
      </c>
      <c r="K1194" t="s">
        <v>48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2085</v>
      </c>
      <c r="J1195">
        <v>5.6708499999999997</v>
      </c>
      <c r="K1195" t="s">
        <v>48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2085</v>
      </c>
      <c r="J1196">
        <v>0.58010000000000006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2085</v>
      </c>
      <c r="J1197">
        <v>16.69725</v>
      </c>
      <c r="K1197" t="s">
        <v>48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2085</v>
      </c>
      <c r="J1198">
        <v>0.1353</v>
      </c>
      <c r="K1198" t="s">
        <v>48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2090</v>
      </c>
      <c r="J1199">
        <v>4.7269500000000004</v>
      </c>
      <c r="K1199" t="s">
        <v>48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63.290400000000005</v>
      </c>
      <c r="K1200" t="s">
        <v>48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2090</v>
      </c>
      <c r="J1201">
        <v>-3.42075</v>
      </c>
      <c r="K1201" t="s">
        <v>48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2090</v>
      </c>
      <c r="J1202">
        <v>5.5835500000000007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2090</v>
      </c>
      <c r="J1203">
        <v>1.01325</v>
      </c>
      <c r="K1203" t="s">
        <v>48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2090</v>
      </c>
      <c r="J1204">
        <v>14.5845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2090</v>
      </c>
      <c r="J1205">
        <v>0.94730000000000003</v>
      </c>
      <c r="K1205" t="s">
        <v>48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2095</v>
      </c>
      <c r="J1206">
        <v>3.6239999999999997</v>
      </c>
      <c r="K1206" t="s">
        <v>48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2095</v>
      </c>
      <c r="J1207">
        <v>56.057549999999999</v>
      </c>
      <c r="K1207" t="s">
        <v>48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2095</v>
      </c>
      <c r="J1208">
        <v>-2.7969499999999998</v>
      </c>
      <c r="K1208" t="s">
        <v>48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2095</v>
      </c>
      <c r="J1209">
        <v>5.0418000000000003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2095</v>
      </c>
      <c r="J1210">
        <v>0.43394999999999995</v>
      </c>
      <c r="K1210" t="s">
        <v>48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2095</v>
      </c>
      <c r="J1211">
        <v>13.179349999999999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2095</v>
      </c>
      <c r="J1212">
        <v>0.69300000000000006</v>
      </c>
      <c r="K1212" t="s">
        <v>48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2100</v>
      </c>
      <c r="J1213">
        <v>2.5051500000000004</v>
      </c>
      <c r="K1213" t="s">
        <v>48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2100</v>
      </c>
      <c r="J1214">
        <v>48.889400000000002</v>
      </c>
      <c r="K1214" t="s">
        <v>48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2100</v>
      </c>
      <c r="J1215">
        <v>-2.0712000000000002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2100</v>
      </c>
      <c r="J1216">
        <v>4.5369000000000002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2100</v>
      </c>
      <c r="J1217">
        <v>-8.1749999999999989E-2</v>
      </c>
      <c r="K1217" t="s">
        <v>48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2100</v>
      </c>
      <c r="J1218">
        <v>11.572050000000001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0.53234999999999999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3.9257</v>
      </c>
      <c r="K1220" t="s">
        <v>51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2020</v>
      </c>
      <c r="J1221">
        <v>4.0350000000000001</v>
      </c>
      <c r="K1221" t="s">
        <v>51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2020</v>
      </c>
      <c r="J1222">
        <v>3.9555499999999997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2020</v>
      </c>
      <c r="J1223">
        <v>3.88165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2020</v>
      </c>
      <c r="J1224">
        <v>3.8086000000000002</v>
      </c>
      <c r="K1224" t="s">
        <v>51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2020</v>
      </c>
      <c r="J1225">
        <v>4.0717999999999996</v>
      </c>
      <c r="K1225" t="s">
        <v>51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2020</v>
      </c>
      <c r="J1226">
        <v>3.94665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2025</v>
      </c>
      <c r="J1227">
        <v>5.6907499999999995</v>
      </c>
      <c r="K1227" t="s">
        <v>51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2025</v>
      </c>
      <c r="J1228">
        <v>5.7070999999999996</v>
      </c>
      <c r="K1228" t="s">
        <v>51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2025</v>
      </c>
      <c r="J1229">
        <v>5.7462499999999999</v>
      </c>
      <c r="K1229" t="s">
        <v>51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2025</v>
      </c>
      <c r="J1230">
        <v>5.6051000000000002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2025</v>
      </c>
      <c r="J1231">
        <v>5.0614499999999998</v>
      </c>
      <c r="K1231" t="s">
        <v>51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2025</v>
      </c>
      <c r="J1232">
        <v>6.0095999999999998</v>
      </c>
      <c r="K1232" t="s">
        <v>51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2025</v>
      </c>
      <c r="J1233">
        <v>6.1122999999999994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2030</v>
      </c>
      <c r="J1234">
        <v>7.2449500000000002</v>
      </c>
      <c r="K1234" t="s">
        <v>51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2030</v>
      </c>
      <c r="J1235">
        <v>7.7919</v>
      </c>
      <c r="K1235" t="s">
        <v>51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2030</v>
      </c>
      <c r="J1236">
        <v>8.1822999999999997</v>
      </c>
      <c r="K1236" t="s">
        <v>51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2030</v>
      </c>
      <c r="J1237">
        <v>8.0113000000000003</v>
      </c>
      <c r="K1237" t="s">
        <v>51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2030</v>
      </c>
      <c r="J1238">
        <v>5.2659500000000001</v>
      </c>
      <c r="K1238" t="s">
        <v>51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8.2434499999999993</v>
      </c>
      <c r="K1239" t="s">
        <v>51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2030</v>
      </c>
      <c r="J1240">
        <v>7.5158500000000004</v>
      </c>
      <c r="K1240" t="s">
        <v>51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2035</v>
      </c>
      <c r="J1241">
        <v>9.9616000000000007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2035</v>
      </c>
      <c r="J1242">
        <v>11.0063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2035</v>
      </c>
      <c r="J1243">
        <v>10.58175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2035</v>
      </c>
      <c r="J1244">
        <v>11.4658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2035</v>
      </c>
      <c r="J1245">
        <v>5.8624500000000008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2035</v>
      </c>
      <c r="J1246">
        <v>11.356300000000001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2035</v>
      </c>
      <c r="J1247">
        <v>8.55945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2040</v>
      </c>
      <c r="J1248">
        <v>12.33135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2040</v>
      </c>
      <c r="J1249">
        <v>15.727350000000001</v>
      </c>
      <c r="K1249" t="s">
        <v>51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2040</v>
      </c>
      <c r="J1250">
        <v>12.10665</v>
      </c>
      <c r="K1250" t="s">
        <v>51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2040</v>
      </c>
      <c r="J1251">
        <v>13.7781</v>
      </c>
      <c r="K1251" t="s">
        <v>51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2040</v>
      </c>
      <c r="J1252">
        <v>6.2424499999999998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2040</v>
      </c>
      <c r="J1253">
        <v>15.58295</v>
      </c>
      <c r="K1253" t="s">
        <v>51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2040</v>
      </c>
      <c r="J1254">
        <v>8.4752499999999991</v>
      </c>
      <c r="K1254" t="s">
        <v>51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2045</v>
      </c>
      <c r="J1255">
        <v>14.9617</v>
      </c>
      <c r="K1255" t="s">
        <v>51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2045</v>
      </c>
      <c r="J1256">
        <v>23.380499999999998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2045</v>
      </c>
      <c r="J1257">
        <v>11.457550000000001</v>
      </c>
      <c r="K1257" t="s">
        <v>51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2045</v>
      </c>
      <c r="J1258">
        <v>17.053000000000001</v>
      </c>
      <c r="K1258" t="s">
        <v>51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4.9796499999999995</v>
      </c>
      <c r="K1259" t="s">
        <v>51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2045</v>
      </c>
      <c r="J1260">
        <v>21.253799999999998</v>
      </c>
      <c r="K1260" t="s">
        <v>51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2045</v>
      </c>
      <c r="J1261">
        <v>5.0831499999999998</v>
      </c>
      <c r="K1261" t="s">
        <v>51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2050</v>
      </c>
      <c r="J1262">
        <v>19.2057</v>
      </c>
      <c r="K1262" t="s">
        <v>51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2050</v>
      </c>
      <c r="J1263">
        <v>38.837350000000001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2050</v>
      </c>
      <c r="J1264">
        <v>9.875350000000001</v>
      </c>
      <c r="K1264" t="s">
        <v>51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2050</v>
      </c>
      <c r="J1265">
        <v>22.422350000000002</v>
      </c>
      <c r="K1265" t="s">
        <v>51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2050</v>
      </c>
      <c r="J1266">
        <v>6.7484999999999999</v>
      </c>
      <c r="K1266" t="s">
        <v>51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2050</v>
      </c>
      <c r="J1267">
        <v>30.377050000000001</v>
      </c>
      <c r="K1267" t="s">
        <v>51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2050</v>
      </c>
      <c r="J1268">
        <v>4.6255500000000005</v>
      </c>
      <c r="K1268" t="s">
        <v>51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2055</v>
      </c>
      <c r="J1269">
        <v>16.228450000000002</v>
      </c>
      <c r="K1269" t="s">
        <v>51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2055</v>
      </c>
      <c r="J1270">
        <v>45.76755</v>
      </c>
      <c r="K1270" t="s">
        <v>51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2055</v>
      </c>
      <c r="J1271">
        <v>5.3845499999999999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2055</v>
      </c>
      <c r="J1272">
        <v>18.564999999999998</v>
      </c>
      <c r="K1272" t="s">
        <v>51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2055</v>
      </c>
      <c r="J1273">
        <v>4.4013999999999998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2055</v>
      </c>
      <c r="J1274">
        <v>30.537050000000001</v>
      </c>
      <c r="K1274" t="s">
        <v>51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2055</v>
      </c>
      <c r="J1275">
        <v>3.6227999999999998</v>
      </c>
      <c r="K1275" t="s">
        <v>51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2060</v>
      </c>
      <c r="J1276">
        <v>12.71425</v>
      </c>
      <c r="K1276" t="s">
        <v>51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2060</v>
      </c>
      <c r="J1277">
        <v>55.10125</v>
      </c>
      <c r="K1277" t="s">
        <v>51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2060</v>
      </c>
      <c r="J1278">
        <v>0.75045000000000006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13.74325</v>
      </c>
      <c r="K1279" t="s">
        <v>51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2060</v>
      </c>
      <c r="J1280">
        <v>2.9425499999999998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2060</v>
      </c>
      <c r="J1281">
        <v>29.356450000000002</v>
      </c>
      <c r="K1281" t="s">
        <v>51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2060</v>
      </c>
      <c r="J1282">
        <v>1.9508000000000001</v>
      </c>
      <c r="K1282" t="s">
        <v>51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2065</v>
      </c>
      <c r="J1283">
        <v>10.5779</v>
      </c>
      <c r="K1283" t="s">
        <v>51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2065</v>
      </c>
      <c r="J1284">
        <v>58.9358</v>
      </c>
      <c r="K1284" t="s">
        <v>51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2065</v>
      </c>
      <c r="J1285">
        <v>-1.8511500000000001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2065</v>
      </c>
      <c r="J1286">
        <v>11.30325</v>
      </c>
      <c r="K1286" t="s">
        <v>51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2065</v>
      </c>
      <c r="J1287">
        <v>1.8660000000000001</v>
      </c>
      <c r="K1287" t="s">
        <v>51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2065</v>
      </c>
      <c r="J1288">
        <v>26.9514</v>
      </c>
      <c r="K1288" t="s">
        <v>51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2065</v>
      </c>
      <c r="J1289">
        <v>0.84689999999999999</v>
      </c>
      <c r="K1289" t="s">
        <v>51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2070</v>
      </c>
      <c r="J1290">
        <v>8.0779999999999994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2070</v>
      </c>
      <c r="J1291">
        <v>62.551549999999999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2070</v>
      </c>
      <c r="J1292">
        <v>-4.7987500000000001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2070</v>
      </c>
      <c r="J1293">
        <v>8.6914999999999996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2070</v>
      </c>
      <c r="J1294">
        <v>0.84375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2070</v>
      </c>
      <c r="J1295">
        <v>23.531199999999998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2070</v>
      </c>
      <c r="J1296">
        <v>-0.40720000000000001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2075</v>
      </c>
      <c r="J1297">
        <v>5.7698499999999999</v>
      </c>
      <c r="K1297" t="s">
        <v>51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2075</v>
      </c>
      <c r="J1298">
        <v>64.575400000000002</v>
      </c>
      <c r="K1298" t="s">
        <v>51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-5.8201999999999998</v>
      </c>
      <c r="K1299" t="s">
        <v>51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2075</v>
      </c>
      <c r="J1300">
        <v>7.3423999999999996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2075</v>
      </c>
      <c r="J1301">
        <v>0.19495000000000001</v>
      </c>
      <c r="K1301" t="s">
        <v>51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2075</v>
      </c>
      <c r="J1302">
        <v>21.2819</v>
      </c>
      <c r="K1302" t="s">
        <v>51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2075</v>
      </c>
      <c r="J1303">
        <v>-0.65410000000000001</v>
      </c>
      <c r="K1303" t="s">
        <v>51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2080</v>
      </c>
      <c r="J1304">
        <v>3.4786999999999999</v>
      </c>
      <c r="K1304" t="s">
        <v>51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2080</v>
      </c>
      <c r="J1305">
        <v>66.635549999999995</v>
      </c>
      <c r="K1305" t="s">
        <v>51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2080</v>
      </c>
      <c r="J1306">
        <v>-6.9070999999999998</v>
      </c>
      <c r="K1306" t="s">
        <v>51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2080</v>
      </c>
      <c r="J1307">
        <v>6.0140499999999992</v>
      </c>
      <c r="K1307" t="s">
        <v>51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2080</v>
      </c>
      <c r="J1308">
        <v>-0.43515000000000004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2080</v>
      </c>
      <c r="J1309">
        <v>18.853400000000001</v>
      </c>
      <c r="K1309" t="s">
        <v>51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2080</v>
      </c>
      <c r="J1310">
        <v>-0.93855</v>
      </c>
      <c r="K1310" t="s">
        <v>51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2085</v>
      </c>
      <c r="J1311">
        <v>2.9973999999999998</v>
      </c>
      <c r="K1311" t="s">
        <v>51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2085</v>
      </c>
      <c r="J1312">
        <v>64.718099999999993</v>
      </c>
      <c r="K1312" t="s">
        <v>51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2085</v>
      </c>
      <c r="J1313">
        <v>-6.0062499999999996</v>
      </c>
      <c r="K1313" t="s">
        <v>51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2085</v>
      </c>
      <c r="J1314">
        <v>5.1227499999999999</v>
      </c>
      <c r="K1314" t="s">
        <v>51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2085</v>
      </c>
      <c r="J1315">
        <v>-0.43964999999999999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2085</v>
      </c>
      <c r="J1316">
        <v>15.7371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2085</v>
      </c>
      <c r="J1317">
        <v>-0.76554999999999995</v>
      </c>
      <c r="K1317" t="s">
        <v>51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2090</v>
      </c>
      <c r="J1318">
        <v>2.5603500000000001</v>
      </c>
      <c r="K1318" t="s">
        <v>51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62.483000000000004</v>
      </c>
      <c r="K1319" t="s">
        <v>51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2090</v>
      </c>
      <c r="J1320">
        <v>-5.0698500000000006</v>
      </c>
      <c r="K1320" t="s">
        <v>51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2090</v>
      </c>
      <c r="J1321">
        <v>4.2646499999999996</v>
      </c>
      <c r="K1321" t="s">
        <v>51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2090</v>
      </c>
      <c r="J1322">
        <v>-0.44989999999999997</v>
      </c>
      <c r="K1322" t="s">
        <v>51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2090</v>
      </c>
      <c r="J1323">
        <v>12.917949999999999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2090</v>
      </c>
      <c r="J1324">
        <v>-0.46360000000000001</v>
      </c>
      <c r="K1324" t="s">
        <v>51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2095</v>
      </c>
      <c r="J1325">
        <v>2.0332499999999998</v>
      </c>
      <c r="K1325" t="s">
        <v>51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2095</v>
      </c>
      <c r="J1326">
        <v>55.717399999999998</v>
      </c>
      <c r="K1326" t="s">
        <v>51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2095</v>
      </c>
      <c r="J1327">
        <v>-3.9238</v>
      </c>
      <c r="K1327" t="s">
        <v>51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2095</v>
      </c>
      <c r="J1328">
        <v>4.1716499999999996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2095</v>
      </c>
      <c r="J1329">
        <v>-0.84375</v>
      </c>
      <c r="K1329" t="s">
        <v>51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2095</v>
      </c>
      <c r="J1330">
        <v>11.97185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2095</v>
      </c>
      <c r="J1331">
        <v>-0.48110000000000003</v>
      </c>
      <c r="K1331" t="s">
        <v>51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2100</v>
      </c>
      <c r="J1332">
        <v>1.48695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2100</v>
      </c>
      <c r="J1333">
        <v>49.019100000000002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2100</v>
      </c>
      <c r="J1334">
        <v>-2.6791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2100</v>
      </c>
      <c r="J1335">
        <v>4.1111000000000004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2100</v>
      </c>
      <c r="J1336">
        <v>-1.1695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2100</v>
      </c>
      <c r="J1337">
        <v>10.823550000000001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-0.40710000000000002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2025</v>
      </c>
      <c r="J1346">
        <v>5.6314500000000001</v>
      </c>
      <c r="K1346" t="s">
        <v>29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2025</v>
      </c>
      <c r="J1347">
        <v>5.7637999999999998</v>
      </c>
      <c r="K1347" t="s">
        <v>29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2025</v>
      </c>
      <c r="J1348">
        <v>5.7637999999999998</v>
      </c>
      <c r="K1348" t="s">
        <v>29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2025</v>
      </c>
      <c r="J1349">
        <v>5.7637999999999998</v>
      </c>
      <c r="K1349" t="s">
        <v>29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2025</v>
      </c>
      <c r="J1350">
        <v>5.3708</v>
      </c>
      <c r="K1350" t="s">
        <v>29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2025</v>
      </c>
      <c r="J1351">
        <v>5.6462000000000003</v>
      </c>
      <c r="K1351" t="s">
        <v>29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2025</v>
      </c>
      <c r="J1352">
        <v>5.2343000000000002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2030</v>
      </c>
      <c r="J1353">
        <v>5.5214499999999997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2030</v>
      </c>
      <c r="J1354">
        <v>5.3145500000000006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2030</v>
      </c>
      <c r="J1355">
        <v>5.3145500000000006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2030</v>
      </c>
      <c r="J1356">
        <v>5.3145500000000006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2030</v>
      </c>
      <c r="J1357">
        <v>5.2363499999999998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5.6435499999999994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2030</v>
      </c>
      <c r="J1359">
        <v>6.0677500000000002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2035</v>
      </c>
      <c r="J1360">
        <v>5.5695499999999996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2035</v>
      </c>
      <c r="J1361">
        <v>4.5601500000000001</v>
      </c>
      <c r="K1361" t="s">
        <v>29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2035</v>
      </c>
      <c r="J1362">
        <v>2.1764999999999999</v>
      </c>
      <c r="K1362" t="s">
        <v>29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2035</v>
      </c>
      <c r="J1363">
        <v>4.7282500000000001</v>
      </c>
      <c r="K1363" t="s">
        <v>29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2035</v>
      </c>
      <c r="J1364">
        <v>7.54115</v>
      </c>
      <c r="K1364" t="s">
        <v>29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2035</v>
      </c>
      <c r="J1365">
        <v>5.8456999999999999</v>
      </c>
      <c r="K1365" t="s">
        <v>29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2035</v>
      </c>
      <c r="J1366">
        <v>8.3306499999999986</v>
      </c>
      <c r="K1366" t="s">
        <v>29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2040</v>
      </c>
      <c r="J1367">
        <v>6.8430499999999999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2040</v>
      </c>
      <c r="J1368">
        <v>2.1816000000000004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2040</v>
      </c>
      <c r="J1369">
        <v>5.5442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2040</v>
      </c>
      <c r="J1370">
        <v>5.6577500000000001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2040</v>
      </c>
      <c r="J1371">
        <v>8.9328500000000002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2040</v>
      </c>
      <c r="J1372">
        <v>5.6487499999999997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2040</v>
      </c>
      <c r="J1373">
        <v>16.86035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2045</v>
      </c>
      <c r="J1374">
        <v>6.9108000000000001</v>
      </c>
      <c r="K1374" t="s">
        <v>29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2045</v>
      </c>
      <c r="J1375">
        <v>2.3449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2045</v>
      </c>
      <c r="J1376">
        <v>8.9685999999999986</v>
      </c>
      <c r="K1376" t="s">
        <v>29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2045</v>
      </c>
      <c r="J1377">
        <v>6.4249000000000001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2045</v>
      </c>
      <c r="J1379">
        <v>6.5330500000000002</v>
      </c>
      <c r="K1379" t="s">
        <v>29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2045</v>
      </c>
      <c r="J1380">
        <v>22.537300000000002</v>
      </c>
      <c r="K1380" t="s">
        <v>29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2050</v>
      </c>
      <c r="J1381">
        <v>7.9924499999999998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2050</v>
      </c>
      <c r="J1382">
        <v>3.6767000000000003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2050</v>
      </c>
      <c r="J1383">
        <v>17.657350000000001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2050</v>
      </c>
      <c r="J1384">
        <v>8.1373999999999995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2050</v>
      </c>
      <c r="J1385">
        <v>12.79175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2050</v>
      </c>
      <c r="J1386">
        <v>7.6464999999999996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2050</v>
      </c>
      <c r="J1387">
        <v>21.625300000000003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2055</v>
      </c>
      <c r="J1388">
        <v>8.6547000000000001</v>
      </c>
      <c r="K1388" t="s">
        <v>29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2055</v>
      </c>
      <c r="J1389">
        <v>4.1312499999999996</v>
      </c>
      <c r="K1389" t="s">
        <v>29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2055</v>
      </c>
      <c r="J1390">
        <v>20.9406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2055</v>
      </c>
      <c r="J1391">
        <v>9.2483499999999985</v>
      </c>
      <c r="K1391" t="s">
        <v>29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2055</v>
      </c>
      <c r="J1392">
        <v>10.578399999999998</v>
      </c>
      <c r="K1392" t="s">
        <v>29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2055</v>
      </c>
      <c r="J1393">
        <v>6.8690999999999995</v>
      </c>
      <c r="K1393" t="s">
        <v>29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2055</v>
      </c>
      <c r="J1394">
        <v>20.022300000000001</v>
      </c>
      <c r="K1394" t="s">
        <v>29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2060</v>
      </c>
      <c r="J1395">
        <v>12.725249999999999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2060</v>
      </c>
      <c r="J1396">
        <v>5.2963500000000003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2060</v>
      </c>
      <c r="J1397">
        <v>28.955849999999998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2060</v>
      </c>
      <c r="J1399">
        <v>21.462600000000002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2060</v>
      </c>
      <c r="J1400">
        <v>13.05955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2060</v>
      </c>
      <c r="J1401">
        <v>34.522100000000002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2065</v>
      </c>
      <c r="J1402">
        <v>12.6111</v>
      </c>
      <c r="K1402" t="s">
        <v>29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2065</v>
      </c>
      <c r="J1403">
        <v>6.2115499999999999</v>
      </c>
      <c r="K1403" t="s">
        <v>29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2065</v>
      </c>
      <c r="J1404">
        <v>25.764299999999999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2065</v>
      </c>
      <c r="J1405">
        <v>15.117049999999999</v>
      </c>
      <c r="K1405" t="s">
        <v>29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2065</v>
      </c>
      <c r="J1406">
        <v>19.187899999999999</v>
      </c>
      <c r="K1406" t="s">
        <v>29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2065</v>
      </c>
      <c r="J1407">
        <v>12.338899999999999</v>
      </c>
      <c r="K1407" t="s">
        <v>29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2065</v>
      </c>
      <c r="J1408">
        <v>34.848349999999996</v>
      </c>
      <c r="K1408" t="s">
        <v>29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2070</v>
      </c>
      <c r="J1409">
        <v>12.497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2070</v>
      </c>
      <c r="J1410">
        <v>7.1266999999999996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2070</v>
      </c>
      <c r="J1411">
        <v>22.572700000000001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2070</v>
      </c>
      <c r="J1412">
        <v>15.547899999999998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2070</v>
      </c>
      <c r="J1413">
        <v>16.913249999999998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2070</v>
      </c>
      <c r="J1414">
        <v>11.61825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2070</v>
      </c>
      <c r="J1415">
        <v>35.174599999999998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2075</v>
      </c>
      <c r="J1416">
        <v>13.562349999999999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2075</v>
      </c>
      <c r="J1417">
        <v>7.1797500000000003</v>
      </c>
      <c r="K1417" t="s">
        <v>29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23.83595</v>
      </c>
      <c r="K1418" t="s">
        <v>29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2075</v>
      </c>
      <c r="J1419">
        <v>15.43695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2075</v>
      </c>
      <c r="J1420">
        <v>16.574300000000001</v>
      </c>
      <c r="K1420" t="s">
        <v>29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2075</v>
      </c>
      <c r="J1421">
        <v>11.212400000000001</v>
      </c>
      <c r="K1421" t="s">
        <v>29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2075</v>
      </c>
      <c r="J1422">
        <v>34.450149999999994</v>
      </c>
      <c r="K1422" t="s">
        <v>29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2080</v>
      </c>
      <c r="J1423">
        <v>14.627700000000001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2080</v>
      </c>
      <c r="J1424">
        <v>7.2326999999999995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2080</v>
      </c>
      <c r="J1425">
        <v>25.099249999999998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2080</v>
      </c>
      <c r="J1426">
        <v>15.325950000000001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2080</v>
      </c>
      <c r="J1427">
        <v>16.235250000000001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2080</v>
      </c>
      <c r="J1428">
        <v>10.8065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2080</v>
      </c>
      <c r="J1429">
        <v>33.725650000000002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2085</v>
      </c>
      <c r="J1430">
        <v>15.284700000000001</v>
      </c>
      <c r="K1430" t="s">
        <v>29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2085</v>
      </c>
      <c r="J1431">
        <v>7.1741000000000001</v>
      </c>
      <c r="K1431" t="s">
        <v>29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2085</v>
      </c>
      <c r="J1432">
        <v>23.323250000000002</v>
      </c>
      <c r="K1432" t="s">
        <v>29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2085</v>
      </c>
      <c r="J1433">
        <v>15.232099999999999</v>
      </c>
      <c r="K1433" t="s">
        <v>29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2085</v>
      </c>
      <c r="J1434">
        <v>16.323450000000001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2085</v>
      </c>
      <c r="J1435">
        <v>10.06185</v>
      </c>
      <c r="K1435" t="s">
        <v>29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2085</v>
      </c>
      <c r="J1436">
        <v>35.534049999999993</v>
      </c>
      <c r="K1436" t="s">
        <v>29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2090</v>
      </c>
      <c r="J1437">
        <v>15.941649999999999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7.1154500000000001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2090</v>
      </c>
      <c r="J1439">
        <v>21.547249999999998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2090</v>
      </c>
      <c r="J1440">
        <v>15.138300000000001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2090</v>
      </c>
      <c r="J1441">
        <v>16.411549999999998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2090</v>
      </c>
      <c r="J1442">
        <v>9.3171999999999997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2090</v>
      </c>
      <c r="J1443">
        <v>37.342399999999998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2095</v>
      </c>
      <c r="J1444">
        <v>15.99475</v>
      </c>
      <c r="K1444" t="s">
        <v>29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2095</v>
      </c>
      <c r="J1445">
        <v>7.3076499999999998</v>
      </c>
      <c r="K1445" t="s">
        <v>29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2095</v>
      </c>
      <c r="J1446">
        <v>22.268699999999999</v>
      </c>
      <c r="K1446" t="s">
        <v>29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2095</v>
      </c>
      <c r="J1447">
        <v>15.0703</v>
      </c>
      <c r="K1447" t="s">
        <v>29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2095</v>
      </c>
      <c r="J1448">
        <v>16.4863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2095</v>
      </c>
      <c r="J1449">
        <v>10.18595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2095</v>
      </c>
      <c r="J1450">
        <v>41.003249999999994</v>
      </c>
      <c r="K1450" t="s">
        <v>29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2100</v>
      </c>
      <c r="J1451">
        <v>16.047899999999998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2100</v>
      </c>
      <c r="J1452">
        <v>7.4998000000000005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2100</v>
      </c>
      <c r="J1453">
        <v>22.99005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2100</v>
      </c>
      <c r="J1454">
        <v>15.00235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2100</v>
      </c>
      <c r="J1455">
        <v>16.561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2100</v>
      </c>
      <c r="J1456">
        <v>11.05475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2020</v>
      </c>
      <c r="J1459">
        <v>2.0344000000000002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2020</v>
      </c>
      <c r="J1460">
        <v>2.0344000000000002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2020</v>
      </c>
      <c r="J1461">
        <v>2.0344000000000002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2020</v>
      </c>
      <c r="J1462">
        <v>2.0344000000000002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2020</v>
      </c>
      <c r="J1463">
        <v>2.0344000000000002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2020</v>
      </c>
      <c r="J1464">
        <v>2.0344000000000002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2025</v>
      </c>
      <c r="J1465">
        <v>2.1930000000000001</v>
      </c>
      <c r="K1465" t="s">
        <v>33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2025</v>
      </c>
      <c r="J1466">
        <v>2.2217500000000001</v>
      </c>
      <c r="K1466" t="s">
        <v>33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2025</v>
      </c>
      <c r="J1467">
        <v>2.2217500000000001</v>
      </c>
      <c r="K1467" t="s">
        <v>33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2025</v>
      </c>
      <c r="J1468">
        <v>2.2217500000000001</v>
      </c>
      <c r="K1468" t="s">
        <v>33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2025</v>
      </c>
      <c r="J1469">
        <v>2.3414999999999999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2025</v>
      </c>
      <c r="J1470">
        <v>2.1197999999999997</v>
      </c>
      <c r="K1470" t="s">
        <v>33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2025</v>
      </c>
      <c r="J1471">
        <v>2.6320999999999999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2030</v>
      </c>
      <c r="J1472">
        <v>1.6815500000000001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2030</v>
      </c>
      <c r="J1473">
        <v>2.2603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2030</v>
      </c>
      <c r="J1474">
        <v>2.2603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2030</v>
      </c>
      <c r="J1475">
        <v>2.2603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2030</v>
      </c>
      <c r="J1476">
        <v>1.62375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2.0793499999999998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2030</v>
      </c>
      <c r="J1478">
        <v>1.7697500000000002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2035</v>
      </c>
      <c r="J1479">
        <v>1.54745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2035</v>
      </c>
      <c r="J1480">
        <v>2.3062499999999999</v>
      </c>
      <c r="K1480" t="s">
        <v>33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2035</v>
      </c>
      <c r="J1481">
        <v>2.2969999999999997</v>
      </c>
      <c r="K1481" t="s">
        <v>33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2035</v>
      </c>
      <c r="J1482">
        <v>2.2448999999999999</v>
      </c>
      <c r="K1482" t="s">
        <v>33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2035</v>
      </c>
      <c r="J1483">
        <v>1.2301500000000001</v>
      </c>
      <c r="K1483" t="s">
        <v>33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2035</v>
      </c>
      <c r="J1484">
        <v>2.0613000000000001</v>
      </c>
      <c r="K1484" t="s">
        <v>33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2035</v>
      </c>
      <c r="J1485">
        <v>1.43615</v>
      </c>
      <c r="K1485" t="s">
        <v>33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2040</v>
      </c>
      <c r="J1486">
        <v>1.4253499999999999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2040</v>
      </c>
      <c r="J1487">
        <v>2.3628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2040</v>
      </c>
      <c r="J1488">
        <v>1.87825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2040</v>
      </c>
      <c r="J1489">
        <v>1.83165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2040</v>
      </c>
      <c r="J1490">
        <v>1.33395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2040</v>
      </c>
      <c r="J1491">
        <v>1.9228499999999999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2040</v>
      </c>
      <c r="J1492">
        <v>1.3690500000000001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2045</v>
      </c>
      <c r="J1493">
        <v>1.4182999999999999</v>
      </c>
      <c r="K1493" t="s">
        <v>33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2045</v>
      </c>
      <c r="J1494">
        <v>2.4756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2045</v>
      </c>
      <c r="J1495">
        <v>1.4248000000000001</v>
      </c>
      <c r="K1495" t="s">
        <v>33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2045</v>
      </c>
      <c r="J1496">
        <v>1.74655</v>
      </c>
      <c r="K1496" t="s">
        <v>33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1.2519499999999999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2045</v>
      </c>
      <c r="J1498">
        <v>1.8188</v>
      </c>
      <c r="K1498" t="s">
        <v>33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2045</v>
      </c>
      <c r="J1499">
        <v>1.4416</v>
      </c>
      <c r="K1499" t="s">
        <v>33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2050</v>
      </c>
      <c r="J1500">
        <v>1.5704500000000001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2050</v>
      </c>
      <c r="J1501">
        <v>2.7322500000000001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2050</v>
      </c>
      <c r="J1502">
        <v>1.53165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2050</v>
      </c>
      <c r="J1503">
        <v>2.1814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2050</v>
      </c>
      <c r="J1504">
        <v>1.59405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2050</v>
      </c>
      <c r="J1505">
        <v>1.8801999999999999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2050</v>
      </c>
      <c r="J1506">
        <v>1.7387999999999999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2055</v>
      </c>
      <c r="J1507">
        <v>1.3464499999999999</v>
      </c>
      <c r="K1507" t="s">
        <v>33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2055</v>
      </c>
      <c r="J1508">
        <v>2.6589499999999999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2055</v>
      </c>
      <c r="J1509">
        <v>1.57935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2055</v>
      </c>
      <c r="J1510">
        <v>1.5321500000000001</v>
      </c>
      <c r="K1510" t="s">
        <v>33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2055</v>
      </c>
      <c r="J1511">
        <v>1.51485</v>
      </c>
      <c r="K1511" t="s">
        <v>33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2055</v>
      </c>
      <c r="J1512">
        <v>1.8517000000000001</v>
      </c>
      <c r="K1512" t="s">
        <v>33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2055</v>
      </c>
      <c r="J1513">
        <v>1.66615</v>
      </c>
      <c r="K1513" t="s">
        <v>33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2060</v>
      </c>
      <c r="J1514">
        <v>1.9051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2060</v>
      </c>
      <c r="J1515">
        <v>3.4098000000000002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2060</v>
      </c>
      <c r="J1516">
        <v>2.1811500000000001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2060</v>
      </c>
      <c r="J1518">
        <v>1.5146000000000002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2060</v>
      </c>
      <c r="J1519">
        <v>2.3400499999999997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2060</v>
      </c>
      <c r="J1520">
        <v>1.8959000000000001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2065</v>
      </c>
      <c r="J1521">
        <v>1.8803999999999998</v>
      </c>
      <c r="K1521" t="s">
        <v>33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2065</v>
      </c>
      <c r="J1522">
        <v>3.5568999999999997</v>
      </c>
      <c r="K1522" t="s">
        <v>33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2065</v>
      </c>
      <c r="J1523">
        <v>2.1503000000000001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2065</v>
      </c>
      <c r="J1524">
        <v>2.2705000000000002</v>
      </c>
      <c r="K1524" t="s">
        <v>33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2065</v>
      </c>
      <c r="J1525">
        <v>1.63405</v>
      </c>
      <c r="K1525" t="s">
        <v>33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2065</v>
      </c>
      <c r="J1526">
        <v>2.2040999999999999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2065</v>
      </c>
      <c r="J1527">
        <v>1.9075500000000001</v>
      </c>
      <c r="K1527" t="s">
        <v>33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2070</v>
      </c>
      <c r="J1528">
        <v>1.8557000000000001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2070</v>
      </c>
      <c r="J1529">
        <v>3.7039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2070</v>
      </c>
      <c r="J1530">
        <v>2.1193999999999997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2070</v>
      </c>
      <c r="J1531">
        <v>2.2568000000000001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2070</v>
      </c>
      <c r="J1532">
        <v>1.7535500000000002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2070</v>
      </c>
      <c r="J1533">
        <v>2.0681500000000002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2070</v>
      </c>
      <c r="J1534">
        <v>1.9191499999999999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2075</v>
      </c>
      <c r="J1535">
        <v>1.85775</v>
      </c>
      <c r="K1535" t="s">
        <v>33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2075</v>
      </c>
      <c r="J1536">
        <v>3.8219000000000003</v>
      </c>
      <c r="K1536" t="s">
        <v>33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2.0685000000000002</v>
      </c>
      <c r="K1537" t="s">
        <v>33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2075</v>
      </c>
      <c r="J1538">
        <v>2.2270000000000003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2075</v>
      </c>
      <c r="J1539">
        <v>1.8342499999999999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2075</v>
      </c>
      <c r="J1540">
        <v>2.1757499999999999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2075</v>
      </c>
      <c r="J1541">
        <v>2.0170500000000002</v>
      </c>
      <c r="K1541" t="s">
        <v>33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2080</v>
      </c>
      <c r="J1542">
        <v>1.8597999999999999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2080</v>
      </c>
      <c r="J1543">
        <v>3.9399000000000002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2080</v>
      </c>
      <c r="J1544">
        <v>2.0176500000000002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2080</v>
      </c>
      <c r="J1545">
        <v>2.1972499999999999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2080</v>
      </c>
      <c r="J1546">
        <v>1.9149500000000002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2080</v>
      </c>
      <c r="J1547">
        <v>2.28335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2080</v>
      </c>
      <c r="J1548">
        <v>2.1149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2085</v>
      </c>
      <c r="J1549">
        <v>1.8835500000000001</v>
      </c>
      <c r="K1549" t="s">
        <v>33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2085</v>
      </c>
      <c r="J1550">
        <v>4.0999499999999998</v>
      </c>
      <c r="K1550" t="s">
        <v>33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2085</v>
      </c>
      <c r="J1551">
        <v>2.0796000000000001</v>
      </c>
      <c r="K1551" t="s">
        <v>33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2085</v>
      </c>
      <c r="J1552">
        <v>2.1886000000000001</v>
      </c>
      <c r="K1552" t="s">
        <v>33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2085</v>
      </c>
      <c r="J1553">
        <v>1.8938000000000001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2085</v>
      </c>
      <c r="J1554">
        <v>2.29</v>
      </c>
      <c r="K1554" t="s">
        <v>33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2085</v>
      </c>
      <c r="J1555">
        <v>2.0994000000000002</v>
      </c>
      <c r="K1555" t="s">
        <v>33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2090</v>
      </c>
      <c r="J1556">
        <v>1.9073500000000001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4.2600999999999996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2090</v>
      </c>
      <c r="J1558">
        <v>2.1415499999999996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2090</v>
      </c>
      <c r="J1559">
        <v>2.1798999999999999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2090</v>
      </c>
      <c r="J1560">
        <v>1.8727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2090</v>
      </c>
      <c r="J1561">
        <v>2.2967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2090</v>
      </c>
      <c r="J1562">
        <v>2.0839499999999997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2095</v>
      </c>
      <c r="J1563">
        <v>1.81115</v>
      </c>
      <c r="K1563" t="s">
        <v>33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2095</v>
      </c>
      <c r="J1564">
        <v>4.2486499999999996</v>
      </c>
      <c r="K1564" t="s">
        <v>33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2095</v>
      </c>
      <c r="J1565">
        <v>1.9457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2095</v>
      </c>
      <c r="J1566">
        <v>2.117</v>
      </c>
      <c r="K1566" t="s">
        <v>33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2095</v>
      </c>
      <c r="J1567">
        <v>1.7038500000000001</v>
      </c>
      <c r="K1567" t="s">
        <v>33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2095</v>
      </c>
      <c r="J1568">
        <v>2.3285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2095</v>
      </c>
      <c r="J1569">
        <v>1.94255</v>
      </c>
      <c r="K1569" t="s">
        <v>33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1.7150500000000002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4.2371499999999997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2100</v>
      </c>
      <c r="J1572">
        <v>1.7498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2100</v>
      </c>
      <c r="J1573">
        <v>2.0540000000000003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2100</v>
      </c>
      <c r="J1574">
        <v>1.53505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2100</v>
      </c>
      <c r="J1575">
        <v>2.3602499999999997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2020</v>
      </c>
      <c r="J1578">
        <v>3.9710999999999999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2020</v>
      </c>
      <c r="J1579">
        <v>3.9710999999999999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2020</v>
      </c>
      <c r="J1580">
        <v>3.9710999999999999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2020</v>
      </c>
      <c r="J1581">
        <v>3.9710999999999999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2020</v>
      </c>
      <c r="J1582">
        <v>3.9710999999999999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2020</v>
      </c>
      <c r="J1583">
        <v>3.9710999999999999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2025</v>
      </c>
      <c r="J1584">
        <v>4.6235499999999998</v>
      </c>
      <c r="K1584" t="s">
        <v>35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2025</v>
      </c>
      <c r="J1585">
        <v>4.6684000000000001</v>
      </c>
      <c r="K1585" t="s">
        <v>35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2025</v>
      </c>
      <c r="J1586">
        <v>4.6684000000000001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2025</v>
      </c>
      <c r="J1587">
        <v>4.6684000000000001</v>
      </c>
      <c r="K1587" t="s">
        <v>35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2025</v>
      </c>
      <c r="J1588">
        <v>4.6830999999999996</v>
      </c>
      <c r="K1588" t="s">
        <v>35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2025</v>
      </c>
      <c r="J1589">
        <v>4.5302500000000006</v>
      </c>
      <c r="K1589" t="s">
        <v>35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2025</v>
      </c>
      <c r="J1590">
        <v>5.1760999999999999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2030</v>
      </c>
      <c r="J1591">
        <v>4.5418000000000003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2030</v>
      </c>
      <c r="J1592">
        <v>4.6098499999999998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2030</v>
      </c>
      <c r="J1593">
        <v>4.6098499999999998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2030</v>
      </c>
      <c r="J1594">
        <v>4.6098499999999998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2030</v>
      </c>
      <c r="J1595">
        <v>4.3525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4.2876500000000002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2030</v>
      </c>
      <c r="J1597">
        <v>5.5630500000000005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2035</v>
      </c>
      <c r="J1598">
        <v>5.2363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2035</v>
      </c>
      <c r="J1599">
        <v>4.9910999999999994</v>
      </c>
      <c r="K1599" t="s">
        <v>35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2035</v>
      </c>
      <c r="J1600">
        <v>5.7273500000000004</v>
      </c>
      <c r="K1600" t="s">
        <v>35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2035</v>
      </c>
      <c r="J1601">
        <v>5.0059500000000003</v>
      </c>
      <c r="K1601" t="s">
        <v>35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2035</v>
      </c>
      <c r="J1602">
        <v>5.21875</v>
      </c>
      <c r="K1602" t="s">
        <v>35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2035</v>
      </c>
      <c r="J1603">
        <v>4.73515</v>
      </c>
      <c r="K1603" t="s">
        <v>35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2035</v>
      </c>
      <c r="J1604">
        <v>5.8599999999999994</v>
      </c>
      <c r="K1604" t="s">
        <v>35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2040</v>
      </c>
      <c r="J1605">
        <v>5.0498499999999993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2040</v>
      </c>
      <c r="J1606">
        <v>5.2395999999999994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2040</v>
      </c>
      <c r="J1607">
        <v>5.2990500000000003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2040</v>
      </c>
      <c r="J1608">
        <v>4.9135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2040</v>
      </c>
      <c r="J1609">
        <v>4.6133500000000005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2040</v>
      </c>
      <c r="J1610">
        <v>5.0349500000000003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2040</v>
      </c>
      <c r="J1611">
        <v>5.7446000000000002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2045</v>
      </c>
      <c r="J1612">
        <v>4.7785500000000001</v>
      </c>
      <c r="K1612" t="s">
        <v>35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2045</v>
      </c>
      <c r="J1613">
        <v>5.4906499999999996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2045</v>
      </c>
      <c r="J1614">
        <v>4.6126000000000005</v>
      </c>
      <c r="K1614" t="s">
        <v>35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2045</v>
      </c>
      <c r="J1615">
        <v>5.3256499999999996</v>
      </c>
      <c r="K1615" t="s">
        <v>35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3.9799499999999997</v>
      </c>
      <c r="K1616" t="s">
        <v>35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2045</v>
      </c>
      <c r="J1617">
        <v>5.3595000000000006</v>
      </c>
      <c r="K1617" t="s">
        <v>35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2045</v>
      </c>
      <c r="J1618">
        <v>4.9245999999999999</v>
      </c>
      <c r="K1618" t="s">
        <v>35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2050</v>
      </c>
      <c r="J1619">
        <v>4.78505</v>
      </c>
      <c r="K1619" t="s">
        <v>35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2050</v>
      </c>
      <c r="J1620">
        <v>5.6541999999999994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2050</v>
      </c>
      <c r="J1621">
        <v>4.16</v>
      </c>
      <c r="K1621" t="s">
        <v>35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2050</v>
      </c>
      <c r="J1622">
        <v>5.0553999999999997</v>
      </c>
      <c r="K1622" t="s">
        <v>35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2050</v>
      </c>
      <c r="J1623">
        <v>4.1289999999999996</v>
      </c>
      <c r="K1623" t="s">
        <v>35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2050</v>
      </c>
      <c r="J1624">
        <v>5.3207000000000004</v>
      </c>
      <c r="K1624" t="s">
        <v>35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2050</v>
      </c>
      <c r="J1625">
        <v>4.4139499999999998</v>
      </c>
      <c r="K1625" t="s">
        <v>35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2055</v>
      </c>
      <c r="J1626">
        <v>4.5329499999999996</v>
      </c>
      <c r="K1626" t="s">
        <v>35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2055</v>
      </c>
      <c r="J1627">
        <v>5.6654</v>
      </c>
      <c r="K1627" t="s">
        <v>35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2055</v>
      </c>
      <c r="J1628">
        <v>4.3904499999999995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2055</v>
      </c>
      <c r="J1629">
        <v>4.8427000000000007</v>
      </c>
      <c r="K1629" t="s">
        <v>35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2055</v>
      </c>
      <c r="J1630">
        <v>4.0207499999999996</v>
      </c>
      <c r="K1630" t="s">
        <v>35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2055</v>
      </c>
      <c r="J1631">
        <v>5.03695</v>
      </c>
      <c r="K1631" t="s">
        <v>35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2055</v>
      </c>
      <c r="J1632">
        <v>4.5674000000000001</v>
      </c>
      <c r="K1632" t="s">
        <v>35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2060</v>
      </c>
      <c r="J1633">
        <v>5.8452000000000002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2060</v>
      </c>
      <c r="J1634">
        <v>6.6663999999999994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2060</v>
      </c>
      <c r="J1635">
        <v>5.1861999999999995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2060</v>
      </c>
      <c r="J1637">
        <v>5.0639500000000002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2060</v>
      </c>
      <c r="J1638">
        <v>6.1361500000000007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2060</v>
      </c>
      <c r="J1639">
        <v>5.5579999999999998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2065</v>
      </c>
      <c r="J1640">
        <v>5.5266999999999999</v>
      </c>
      <c r="K1640" t="s">
        <v>35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2065</v>
      </c>
      <c r="J1641">
        <v>6.5385</v>
      </c>
      <c r="K1641" t="s">
        <v>35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2065</v>
      </c>
      <c r="J1642">
        <v>5.0748999999999995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2065</v>
      </c>
      <c r="J1643">
        <v>5.65855</v>
      </c>
      <c r="K1643" t="s">
        <v>35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2065</v>
      </c>
      <c r="J1644">
        <v>5.1820000000000004</v>
      </c>
      <c r="K1644" t="s">
        <v>35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2065</v>
      </c>
      <c r="J1645">
        <v>5.9593500000000006</v>
      </c>
      <c r="K1645" t="s">
        <v>35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2065</v>
      </c>
      <c r="J1646">
        <v>5.8658999999999999</v>
      </c>
      <c r="K1646" t="s">
        <v>35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2070</v>
      </c>
      <c r="J1647">
        <v>5.2081999999999997</v>
      </c>
      <c r="K1647" t="s">
        <v>35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2070</v>
      </c>
      <c r="J1648">
        <v>6.4105500000000006</v>
      </c>
      <c r="K1648" t="s">
        <v>35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2070</v>
      </c>
      <c r="J1649">
        <v>4.9635999999999996</v>
      </c>
      <c r="K1649" t="s">
        <v>35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2070</v>
      </c>
      <c r="J1650">
        <v>5.4417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2070</v>
      </c>
      <c r="J1651">
        <v>5.3000500000000006</v>
      </c>
      <c r="K1651" t="s">
        <v>35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2070</v>
      </c>
      <c r="J1652">
        <v>5.7826500000000003</v>
      </c>
      <c r="K1652" t="s">
        <v>35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2070</v>
      </c>
      <c r="J1653">
        <v>6.1738</v>
      </c>
      <c r="K1653" t="s">
        <v>35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2075</v>
      </c>
      <c r="J1654">
        <v>5.0817499999999995</v>
      </c>
      <c r="K1654" t="s">
        <v>35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2075</v>
      </c>
      <c r="J1655">
        <v>6.6208</v>
      </c>
      <c r="K1655" t="s">
        <v>35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5.0854999999999997</v>
      </c>
      <c r="K1656" t="s">
        <v>35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2075</v>
      </c>
      <c r="J1657">
        <v>5.4064499999999995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2075</v>
      </c>
      <c r="J1658">
        <v>5.1056999999999997</v>
      </c>
      <c r="K1658" t="s">
        <v>35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2075</v>
      </c>
      <c r="J1659">
        <v>5.7862499999999999</v>
      </c>
      <c r="K1659" t="s">
        <v>35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2075</v>
      </c>
      <c r="J1660">
        <v>6.0717999999999996</v>
      </c>
      <c r="K1660" t="s">
        <v>35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2080</v>
      </c>
      <c r="J1661">
        <v>4.9551999999999996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2080</v>
      </c>
      <c r="J1662">
        <v>6.8310500000000003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2080</v>
      </c>
      <c r="J1663">
        <v>5.2074499999999997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2080</v>
      </c>
      <c r="J1664">
        <v>5.3712499999999999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2080</v>
      </c>
      <c r="J1665">
        <v>4.9113500000000005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2080</v>
      </c>
      <c r="J1666">
        <v>5.7898499999999995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2080</v>
      </c>
      <c r="J1667">
        <v>5.9697999999999993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2085</v>
      </c>
      <c r="J1668">
        <v>5.0263999999999998</v>
      </c>
      <c r="K1668" t="s">
        <v>35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2085</v>
      </c>
      <c r="J1669">
        <v>7.0742500000000001</v>
      </c>
      <c r="K1669" t="s">
        <v>35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2085</v>
      </c>
      <c r="J1670">
        <v>5.1766000000000005</v>
      </c>
      <c r="K1670" t="s">
        <v>35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2085</v>
      </c>
      <c r="J1671">
        <v>5.36965</v>
      </c>
      <c r="K1671" t="s">
        <v>35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2085</v>
      </c>
      <c r="J1672">
        <v>4.8847000000000005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2085</v>
      </c>
      <c r="J1673">
        <v>5.8544</v>
      </c>
      <c r="K1673" t="s">
        <v>35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2085</v>
      </c>
      <c r="J1674">
        <v>5.8603500000000004</v>
      </c>
      <c r="K1674" t="s">
        <v>35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2090</v>
      </c>
      <c r="J1675">
        <v>5.0976499999999998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7.31745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2090</v>
      </c>
      <c r="J1677">
        <v>5.1458000000000004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2090</v>
      </c>
      <c r="J1678">
        <v>5.3680500000000002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2090</v>
      </c>
      <c r="J1679">
        <v>4.8580500000000004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2090</v>
      </c>
      <c r="J1680">
        <v>5.9189499999999997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2090</v>
      </c>
      <c r="J1681">
        <v>5.7508499999999998</v>
      </c>
      <c r="K1681" t="s">
        <v>35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2095</v>
      </c>
      <c r="J1682">
        <v>5.0595999999999997</v>
      </c>
      <c r="K1682" t="s">
        <v>35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2095</v>
      </c>
      <c r="J1683">
        <v>7.4690499999999993</v>
      </c>
      <c r="K1683" t="s">
        <v>35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2095</v>
      </c>
      <c r="J1684">
        <v>5.0733999999999995</v>
      </c>
      <c r="K1684" t="s">
        <v>35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2095</v>
      </c>
      <c r="J1685">
        <v>5.4055999999999997</v>
      </c>
      <c r="K1685" t="s">
        <v>35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2095</v>
      </c>
      <c r="J1686">
        <v>4.3528500000000001</v>
      </c>
      <c r="K1686" t="s">
        <v>35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2095</v>
      </c>
      <c r="J1687">
        <v>5.9424000000000001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2095</v>
      </c>
      <c r="J1688">
        <v>5.3330500000000001</v>
      </c>
      <c r="K1688" t="s">
        <v>35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2100</v>
      </c>
      <c r="J1689">
        <v>5.0215499999999995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2100</v>
      </c>
      <c r="J1690">
        <v>7.6207000000000003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2100</v>
      </c>
      <c r="J1691">
        <v>5.0011000000000001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2100</v>
      </c>
      <c r="J1692">
        <v>5.4432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2100</v>
      </c>
      <c r="J1693">
        <v>3.8476499999999998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2100</v>
      </c>
      <c r="J1694">
        <v>5.9658999999999995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56.074300000000001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56.074300000000001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56.074300000000001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56.074300000000001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56.074300000000001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56.074300000000001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56.074300000000001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60.457900000000002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66.797650000000004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66.797650000000004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66.797650000000004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38.538200000000003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66.460700000000003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51.978499999999997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73.971049999999991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75.327150000000003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75.327150000000003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75.327150000000003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63.425399999999996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73.562600000000003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71.533199999999994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79.281800000000004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85.159199999999998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60.4788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63.09055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67.593099999999993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82.234749999999991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75.742449999999991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84.577799999999996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95.082949999999997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84.912299999999988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82.648099999999999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73.853649999999988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88.685599999999994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81.774000000000001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86.2911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98.826300000000003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96.226300000000009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88.117999999999995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79.936000000000007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93.331500000000005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66.936000000000007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99.790750000000003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106.26994999999999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89.194999999999993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107.09195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67.469650000000001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104.79349999999999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105.24250000000001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112.93780000000001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111.61805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141.33575000000002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122.1585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117.73304999999999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116.2227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111.64095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181.17149999999998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178.16325000000001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195.95305000000002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187.75594999999998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170.36345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191.23865000000001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160.79974999999999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214.42660000000001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190.64075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251.33190000000002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231.04705000000001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203.95495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216.77500000000001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184.7131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247.68164999999999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203.1182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306.71075000000002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274.33815000000004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237.54640000000001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242.31130000000002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208.62645000000001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272.42205000000001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214.20554999999999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369.48284999999998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296.35090000000002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239.86804999999998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265.85630000000003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216.03665000000001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297.16245000000004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225.2929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432.255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318.36355000000003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242.18975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289.40129999999999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223.4469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319.67755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240.48930000000001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438.64654999999999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319.43360000000001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254.05045000000001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291.67954999999995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214.56394999999998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342.19264999999996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255.6857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445.03809999999999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320.50360000000001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265.91125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293.95775000000003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205.68105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379.01010000000002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285.67115000000001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466.59929999999997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339.65949999999998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285.61840000000001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305.11424999999997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223.73480000000001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415.82745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315.65665000000001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488.16059999999999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358.81539999999995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305.32555000000002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316.27075000000002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241.78854999999999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0.1062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0.36180000000000001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0.86750000000000005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1.6658999999999999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3.0790000000000002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1.5900000000000001E-2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1.34E-2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1.2200000000000001E-2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1.24E-2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1.1299999999999999E-2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1.77E-2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2.7099999999999999E-2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1.0999999999999999E-2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1.17E-2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1.2699999999999999E-2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1.7100000000000001E-2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2.5100000000000001E-2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3.5099999999999999E-2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6.9999999999999999E-4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6.9999999999999999E-4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8.0000000000000004E-4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1.2999999999999999E-3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2.3999999999999998E-3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4.1999999999999997E-3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7.9000000000000008E-3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1.1000000000000001E-3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3.0999999999999999E-3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7.4999999999999997E-3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0.11279999999999998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0.12219999999999999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1.8800000000000001E-2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5.5000000000000005E-3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2.2000000000000002E-2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3.2999999999999995E-2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6.5999999999999989E-2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0.13199999999999998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0.18149999999999999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0.22550000000000001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1.4567000000000001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1.5658000000000001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4.8304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5.4627999999999997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8.1446000000000005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7.3426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8.3400999999999996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1.2613000000000001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1.2619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1.6134999999999999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2.3338999999999999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1.9769000000000001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2.4314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2.1600999999999999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2.2212000000000001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2.4499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2.6602000000000001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2.8797000000000001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3.2082000000000002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3.5455000000000001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2.2349999999999999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4.0782999999999996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3.577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4.1816000000000004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4.1230000000000002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4.7144000000000004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4.6586999999999996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3.5901000000000001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3.5926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4.2820999999999998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5.1852999999999998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6.4257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8.4393999999999991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10.8782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2.2282000000000002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3.2725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4.1607000000000003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5.5785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7.3036000000000003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9.2931000000000008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11.7005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1.6500000000000001E-2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1.5699999999999999E-2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1.4E-2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1.7899999999999999E-2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1.7100000000000001E-2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1.7999999999999999E-2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2.12E-2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1.41E-2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1.0699999999999999E-2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1.3899999999999999E-2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1.2999999999999999E-2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1.6E-2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2.06E-2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2.52E-2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1.4E-3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6.9999999999999999E-4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8.9999999999999998E-4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1.5E-3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1.6000000000000001E-3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2.0999999999999999E-3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0.41360000000000002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0.31019999999999998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0.25380000000000003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0.12219999999999999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4.7E-2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9.4000000000000004E-3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3.2999999999999995E-2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6.5999999999999989E-2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0.13750000000000001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0.28599999999999998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0.39050000000000001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0.47849999999999998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0.76449999999999996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1.4567000000000001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1.6177999999999999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3.9929999999999999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2.4819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4.1707000000000001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2.6787999999999998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1.2613000000000001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1.3259000000000001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1.4076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1.6194999999999999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1.6993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1.5728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1.6851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2.1600999999999999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2.2334999999999998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2.3765000000000001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2.5419999999999998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2.8147000000000002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3.0045000000000002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3.4449999999999998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2.2349999999999999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4.1003999999999996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4.12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4.3750999999999998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4.8352000000000004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5.2949999999999999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5.7755999999999998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3.6408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3.3052000000000001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4.3011999999999997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5.5632999999999999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7.1295999999999999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10.6205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19.607099999999999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2.3180000000000001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3.1421000000000001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4.4061000000000003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6.3324999999999996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8.5906000000000002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12.2416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21.345800000000001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0.27439999999999998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0.70909999999999995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1.4554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2.7292000000000001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1.6400000000000001E-2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1.55E-2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1.37E-2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1.26E-2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1.1599999999999999E-2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1.6500000000000001E-2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2.87E-2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1.41E-2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1.0699999999999999E-2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1.34E-2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1.15E-2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1.55E-2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2.3599999999999999E-2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3.3300000000000003E-2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1.4E-3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6.9999999999999999E-4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8.0000000000000004E-4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1.4E-3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2.8999999999999998E-3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5.4000000000000003E-3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9.4000000000000004E-3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5.9999999999999995E-4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2.2000000000000001E-3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5.3E-3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1.17E-2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0.32900000000000001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0.27259999999999995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0.19739999999999999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2.75E-2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5.5E-2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0.11549999999999999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3.85E-2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5.5E-2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6.0500000000000005E-2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6.0500000000000005E-2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1.4567000000000001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1.6177999999999999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3.9929999999999999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7.0420999999999996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9.2347999999999999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8.8897999999999993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1.2613000000000001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1.3259000000000001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1.4076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2.1819999999999999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2.8927999999999998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2.6505000000000001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3.3403999999999998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2.1600999999999999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2.2334999999999998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2.3765000000000001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2.7389999999999999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2.96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3.2930000000000001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3.694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2.2349999999999999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4.1003999999999996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4.12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4.3330000000000002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4.0993000000000004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4.7759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4.3800999999999997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3.6202000000000001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3.3593000000000002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4.4122000000000003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4.2518000000000002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5.2336999999999998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7.0151000000000003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9.9444999999999997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2.3006000000000002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3.1055000000000001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4.3303000000000003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4.6520999999999999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6.1058000000000003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7.8571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10.7174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4.0000000000000002E-4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0.1341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0.35420000000000001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0.99070000000000003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1.6500000000000001E-2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1.52E-2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1.17E-2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1.3100000000000001E-2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1.2800000000000001E-2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1.2699999999999999E-2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1.83E-2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1.2500000000000001E-2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8.8999999999999999E-3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1.2699999999999999E-2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1.35E-2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1.54E-2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2.1100000000000001E-2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2.64E-2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8.0000000000000004E-4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1.4E-3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3.3999999999999998E-3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6.1999999999999998E-3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0.16919999999999999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0.12219999999999999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0.10340000000000001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3.7600000000000001E-2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9.4000000000000004E-3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9.4000000000000004E-3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1.1000000000000001E-2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2.75E-2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6.0500000000000005E-2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0.11549999999999999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0.18149999999999999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0.27500000000000002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0.34650000000000003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1.4567000000000001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1.6177999999999999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3.9929999999999999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3.4146000000000001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6.7903000000000002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11.5146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1.2613000000000001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1.3259000000000001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1.4076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2.1375999999999999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1.8723000000000001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1.8866000000000001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2.8264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2.1600999999999999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2.2334999999999998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2.3765000000000001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2.9554999999999998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2.8641000000000001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3.1072000000000002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3.6869000000000001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2.2349999999999999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4.1003999999999996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4.12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5.0217999999999998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4.5254000000000003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5.2186000000000003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5.9955999999999996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3.4811000000000001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3.101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4.3582000000000001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5.6330999999999998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7.1898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10.132999999999999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15.0814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2.1211000000000002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2.8805999999999998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4.4294000000000002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6.3566000000000003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8.5131999999999994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11.554600000000001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16.556799999999999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0.63109999999999999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1.4716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2.6331000000000002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4.0952999999999999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5.7050999999999998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1.6299999999999999E-2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1.2800000000000001E-2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1.6500000000000001E-2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2.1600000000000001E-2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2.5100000000000001E-2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2.69E-2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1.3899999999999999E-2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1.7100000000000001E-2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1.7500000000000002E-2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2.24E-2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3.6999999999999998E-2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4.2599999999999999E-2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5.0299999999999997E-2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8.9999999999999998E-4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1.1999999999999999E-3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2.3999999999999998E-3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5.7999999999999996E-3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1.2800000000000001E-2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1.9199999999999998E-2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2.07E-2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1.9E-3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4.1000000000000003E-3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8.3000000000000001E-3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1.7000000000000001E-2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2.6499999999999999E-2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0.68620000000000003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0.64859999999999995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1.8800000000000001E-2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5.5E-2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0.13199999999999998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0.1045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4.4000000000000004E-2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9.8999999999999991E-2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0.1265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0.12100000000000001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1.4567000000000001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1.5658000000000001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7.9062999999999999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13.4625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18.413599999999999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17.232800000000001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1.2613000000000001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1.2619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3.7263000000000002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4.8419999999999996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5.3133999999999997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6.2083000000000004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5.3627000000000002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2.1600999999999999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2.2212000000000001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0.31909999999999999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1.3388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2.4256000000000002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3.5181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3.9782000000000002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2.2349999999999999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4.0782999999999996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1.9999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3.8159000000000001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7.8609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2.9281999999999999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3.8005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4.4066999999999998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3.661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3.2947000000000002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2.7159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2.1838000000000002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2.3378999999999999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2.4079999999999999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3.9148000000000001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3.3738000000000001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3.2359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3.0390000000000001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2.8416000000000001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3.3721999999999999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1.6799999999999999E-2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1.3899999999999999E-2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1.14E-2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1.37E-2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1.4200000000000001E-2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1.83E-2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2.52E-2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1.06E-2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1.2800000000000001E-2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1.37E-2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1.5900000000000001E-2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1.8800000000000001E-2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2.3099999999999999E-2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1.1000000000000001E-3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1.6999999999999999E-3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2.2000000000000001E-3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4.4000000000000003E-3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0.2162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0.22559999999999997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0.15040000000000001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9.4E-2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2.8199999999999996E-2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9.4000000000000004E-3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9.4000000000000004E-3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1.6499999999999997E-2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4.4000000000000004E-2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9.35E-2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0.20350000000000001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0.29700000000000004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0.43450000000000005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0.74249999999999994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1.4567000000000001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1.5658000000000001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3.3275999999999999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3.2294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5.6603000000000003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6.0263999999999998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1.2613000000000001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1.2619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1.343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1.5053000000000001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1.583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1.8196000000000001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1.8251999999999999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2.1600999999999999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2.2212000000000001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2.3780999999999999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2.6924000000000001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2.8281000000000001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3.2869000000000002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3.4897999999999998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2.2349999999999999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4.0782999999999996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4.0960999999999999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4.5590000000000002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4.5087000000000002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5.3421000000000003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5.4485000000000001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3.5348000000000002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3.5935000000000001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4.6817000000000002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6.2431999999999999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7.9013999999999998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11.152900000000001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17.6372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2.1644999999999999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3.3241999999999998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4.7306999999999997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6.9234999999999998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9.1882999999999999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12.5138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19.019500000000001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0.60640000000000005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1.6924999999999999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2.8733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3.0118999999999998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3.8767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1.5699999999999999E-2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1.26E-2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1.03E-2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1.34E-2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2.1000000000000001E-2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3.8699999999999998E-2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5.2900000000000003E-2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1.0999999999999999E-2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1.0699999999999999E-2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1.32E-2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1.7500000000000002E-2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2.4199999999999999E-2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3.2099999999999997E-2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4.48E-2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1.6000000000000001E-3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3.5000000000000001E-3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6.4999999999999997E-3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9.4000000000000004E-3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1.24E-2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1.8E-3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5.7000000000000002E-3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1.04E-2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1.8499999999999999E-2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2.5000000000000001E-2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0.16919999999999999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0.16919999999999999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1.1000000000000001E-2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3.2999999999999995E-2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4.9499999999999995E-2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2.2000000000000002E-2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5.5E-2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1.4567000000000001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1.5658000000000001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34.658700000000003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40.086599999999997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40.713799999999999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1.2613000000000001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1.2619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9.7329000000000008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9.9440000000000008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11.2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11.162000000000001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9.4883000000000006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2.1600999999999999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2.2212000000000001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5.6520000000000001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0.72760000000000002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4.8739999999999997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5.5965999999999996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6.4611000000000001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2.2349999999999999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4.0782999999999996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6.0044000000000004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4.6619999999999999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8.8016000000000005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2.9769000000000001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3.7044999999999999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3.6343000000000001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3.8460999999999999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4.0216000000000003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3.6884999999999999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3.3235999999999999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3.3984999999999999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4.0458999999999996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2.2608999999999999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3.4095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3.7202000000000002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3.7623000000000002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3.7953000000000001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3.9358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4.4477000000000002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0.2082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1.4593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4.1593999999999998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7.2694999999999999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9.4202999999999992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9.7761999999999993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7.5702999999999996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6.1863999999999999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4.7294999999999998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3.3898999999999999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2.02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1.2465999999999999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0.46800000000000003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0.32029999999999997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0.1651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1.55E-2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1.7000000000000001E-2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1.6799999999999999E-2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2.2499999999999999E-2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2.8299999999999999E-2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3.8699999999999998E-2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5.21E-2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6.6400000000000001E-2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7.7899999999999997E-2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8.9300000000000004E-2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0.1013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0.1067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0.1111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0.1133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0.11509999999999999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0.1188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0.121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1.21E-2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1.35E-2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1.2999999999999999E-2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1.5800000000000002E-2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1.8100000000000002E-2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2.2200000000000001E-2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2.9499999999999998E-2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3.73E-2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4.9000000000000002E-2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5.8400000000000001E-2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6.8699999999999997E-2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7.8899999999999998E-2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8.9499999999999996E-2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9.8500000000000004E-2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0.1079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0.1178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0.1273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5.0000000000000001E-4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6.9999999999999999E-4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2.5000000000000001E-3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3.5000000000000001E-3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4.8999999999999998E-3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7.3000000000000001E-3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9.7000000000000003E-3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1.18E-2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1.4200000000000001E-2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1.6799999999999999E-2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1.9199999999999998E-2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2.1899999999999999E-2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2.4400000000000002E-2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2.69E-2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3.04E-2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3.3599999999999998E-2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2.9999999999999997E-4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1.4E-3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4.4999999999999997E-3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9.4999999999999998E-3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1.41E-2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1.9E-2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2.5600000000000001E-2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2.8000000000000001E-2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4.1000000000000002E-2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4.6699999999999998E-2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4.8399999999999999E-2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5.1200000000000002E-2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4.7800000000000002E-2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4.5199999999999997E-2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4.0899999999999999E-2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3.73E-2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3.32E-2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1.2999999999999999E-3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6.9999999999999999E-4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4.0000000000000002E-4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2.9999999999999997E-4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4.0000000000000002E-4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6.9999999999999999E-4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1.6000000000000001E-3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1.5E-3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8.0000000000000004E-4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4.0000000000000002E-4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4.0000000000000002E-4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4.0000000000000002E-4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4.0000000000000002E-4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4.0000000000000002E-4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2.9999999999999997E-4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2.0000000000000001E-4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1E-4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1E-4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56.074300000000001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60.266800000000003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74.063199999999995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78.308099999999996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84.741399999999999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87.655299999999997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99.593599999999995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111.973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181.7011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214.38910000000001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247.0771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268.62729999999999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290.17750000000001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318.87920000000003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347.58089999999999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383.53750000000002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419.49400000000003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5.2256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6.0159000000000002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7.4260999999999999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9.5131999999999994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11.142799999999999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13.6912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17.656300000000002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15.063000000000001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12.3279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10.7181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8.8115000000000006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6.6837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4.5712000000000002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4.6520000000000001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4.7770000000000001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3.5958999999999999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2.4014000000000002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3.9331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5.6891999999999996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7.2342000000000004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9.8252000000000006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11.8926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14.488899999999999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18.5029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15.7361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12.5733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10.804399999999999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8.7376000000000005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6.36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3.9893999999999998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3.2725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2.5996000000000001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2.0103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1.4031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0.02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1.78E-2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1.78E-2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2.3099999999999999E-2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3.0499999999999999E-2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3.9399999999999998E-2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4.9799999999999997E-2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5.8700000000000002E-2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6.6799999999999998E-2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7.3099999999999998E-2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7.9699999999999993E-2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8.48E-2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8.9599999999999999E-2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9.4799999999999995E-2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9.9699999999999997E-2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0.10340000000000001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0.1056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1.47E-2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1.4800000000000001E-2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1.54E-2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1.7899999999999999E-2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2.07E-2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2.4799999999999999E-2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3.1E-2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3.5700000000000003E-2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4.41E-2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4.9299999999999997E-2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5.5500000000000001E-2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6.4100000000000004E-2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7.3200000000000001E-2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8.2900000000000001E-2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9.3100000000000002E-2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0.1009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0.10829999999999999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5.0000000000000001E-4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8.9999999999999998E-4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1.6000000000000001E-3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2.7000000000000001E-3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3.7000000000000002E-3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4.5999999999999999E-3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6.1000000000000004E-3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7.7000000000000002E-3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9.1999999999999998E-3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1.0800000000000001E-2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1.24E-2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1.4500000000000001E-2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1.6899999999999998E-2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1.9400000000000001E-2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2.2100000000000002E-2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2.52E-2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2.7799999999999998E-2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2.9999999999999997E-4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1.4E-3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3.5999999999999999E-3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6.4999999999999997E-3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9.9000000000000008E-3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1.32E-2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1.6299999999999999E-2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1.77E-2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1.8599999999999998E-2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1.9E-2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1.9199999999999998E-2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2.0199999999999999E-2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2.1299999999999999E-2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2.5600000000000001E-2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2.9899999999999999E-2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4.1700000000000001E-2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5.2900000000000003E-2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3.2000000000000002E-3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2.8999999999999998E-3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2.5000000000000001E-3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1.6999999999999999E-3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1.1000000000000001E-3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8.0000000000000004E-4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5.9999999999999995E-4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8.0000000000000004E-4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1.5E-3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3.0999999999999999E-3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5.7000000000000002E-3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8.8999999999999999E-3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1.2500000000000001E-2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1.6299999999999999E-2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1.9400000000000001E-2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2.1700000000000001E-2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2.18E-2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2.1399999999999999E-2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1.9400000000000001E-2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1.6500000000000001E-2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1.49E-2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1.2699999999999999E-2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1.0500000000000001E-2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56.074300000000001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66.789100000000005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75.3339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85.170599999999993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94.949799999999996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98.349599999999995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105.5684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110.6143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176.8544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188.74789999999999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200.6413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210.94659999999999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221.25200000000001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235.57839999999999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249.90479999999999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282.18490000000003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314.46510000000001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5.3177000000000003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5.9427000000000003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7.8407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10.5855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14.793699999999999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22.356400000000001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37.977600000000002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44.896299999999997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54.262700000000002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58.137599999999999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61.787399999999998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64.017899999999997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66.272300000000001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65.433000000000007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64.282600000000002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57.6004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50.997900000000001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4.0481999999999996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5.7122000000000002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7.8048999999999999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11.097799999999999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15.857200000000001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23.4983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39.213999999999999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45.944400000000002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55.1447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58.968299999999999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62.570099999999996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64.744100000000003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66.942400000000006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65.3703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63.490600000000001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57.2791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51.150300000000001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2.7000000000000001E-3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0.45400000000000001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2.4803000000000002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4.2496999999999998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4.0176999999999996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4.1638999999999999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4.6938000000000004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5.3182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5.3949999999999996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5.4805000000000001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4.6418999999999997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3.7490000000000001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3.0476000000000001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2.2349000000000001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1.1599999999999999E-2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1.24E-2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1.6199999999999999E-2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1.61E-2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2.6100000000000002E-2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4.02E-2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5.6899999999999999E-2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7.4399999999999994E-2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9.11E-2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0.1052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0.11840000000000001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0.1205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0.12230000000000001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0.1221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0.1216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0.1232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0.1232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9.7999999999999997E-3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1.0699999999999999E-2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1.2800000000000001E-2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1.2200000000000001E-2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1.4200000000000001E-2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2.12E-2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3.5200000000000002E-2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4.4299999999999999E-2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5.8599999999999999E-2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6.9199999999999998E-2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8.0299999999999996E-2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8.8700000000000001E-2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9.7299999999999998E-2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0.10489999999999999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0.11260000000000001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0.1196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0.12609999999999999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4.0000000000000002E-4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5.9999999999999995E-4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1.2999999999999999E-3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1.9E-3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3.3999999999999998E-3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6.1000000000000004E-3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8.6E-3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1.1299999999999999E-2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1.37E-2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1.6299999999999999E-2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1.9099999999999999E-2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2.1000000000000001E-2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2.3199999999999998E-2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2.52E-2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2.7300000000000001E-2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3.0200000000000001E-2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3.27E-2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2.0000000000000001E-4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1.2999999999999999E-3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3.5999999999999999E-3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6.3E-3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1.23E-2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1.8599999999999998E-2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2.69E-2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3.3700000000000001E-2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4.02E-2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4.1700000000000001E-2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4.0800000000000003E-2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4.4900000000000002E-2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4.9000000000000002E-2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5.11E-2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5.3199999999999997E-2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5.16E-2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4.9700000000000001E-2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1.5E-3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1.1000000000000001E-3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6.9999999999999999E-4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4.0000000000000002E-4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5.0000000000000001E-4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2.9999999999999997E-4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2.9999999999999997E-4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5.0000000000000001E-4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8.9999999999999998E-4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2.3E-3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1.6999999999999999E-3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6.9999999999999999E-4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2.0000000000000001E-4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56.074300000000001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66.789100000000005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75.3339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57.565399999999997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84.912899999999993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96.081800000000001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89.106499999999997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140.88650000000001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194.3081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251.34690000000001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308.38560000000001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370.69510000000002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433.00459999999998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437.12430000000001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441.24400000000003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464.3732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487.5025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5.2587000000000002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6.2476000000000003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9.0931999999999995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10.964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11.8848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10.555400000000001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8.5829000000000004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4.4206000000000003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-9.2399999999999996E-2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-2.2595999999999998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-4.7206000000000001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-5.8681000000000001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-7.0740999999999996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-5.3952999999999998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-3.6776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-3.0804999999999998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-2.3818999999999999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3.9546999999999999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5.8757999999999999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8.7973999999999997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11.2805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12.5627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11.3766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9.4854000000000003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5.1669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0.37690000000000001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-1.9012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-4.4725999999999999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-5.7880000000000003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-7.1641000000000004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-6.2561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-5.3093000000000004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-4.1882000000000001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-2.9691999999999998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7.3000000000000001E-3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0.57650000000000001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3.6701000000000001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6.2173999999999996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8.3124000000000002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10.515499999999999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9.3124000000000002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8.2044999999999995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6.3112000000000004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4.4538000000000002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2.9306000000000001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1.3987000000000001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0.78969999999999996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0.2069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1.35E-2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1.4E-2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1.61E-2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1.95E-2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3.0099999999999998E-2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4.1599999999999998E-2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5.2299999999999999E-2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6.4699999999999994E-2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7.7499999999999999E-2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8.9300000000000004E-2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0.1014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0.1062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0.11020000000000001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0.1129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0.11509999999999999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0.1182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0.1201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1.0800000000000001E-2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1.17E-2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1.29E-2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1.4E-2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1.6199999999999999E-2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2.3699999999999999E-2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3.0300000000000001E-2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3.7999999999999999E-2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4.9299999999999997E-2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5.8999999999999997E-2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6.9800000000000001E-2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7.9100000000000004E-2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8.8700000000000001E-2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9.8000000000000004E-2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0.1075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0.1163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0.125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4.0000000000000002E-4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6.9999999999999999E-4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1.2999999999999999E-3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2.3E-3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4.1000000000000003E-3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6.1000000000000004E-3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8.0000000000000002E-3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9.7999999999999997E-3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1.2E-2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1.4200000000000001E-2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1.66E-2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1.8700000000000001E-2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2.1100000000000001E-2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2.3400000000000001E-2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2.5899999999999999E-2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2.9000000000000001E-2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3.2000000000000001E-2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2.9999999999999997E-4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1.2999999999999999E-3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3.5000000000000001E-3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1.37E-2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2.1299999999999999E-2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2.9399999999999999E-2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2.8000000000000001E-2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3.2000000000000001E-2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3.6900000000000002E-2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3.85E-2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4.4699999999999997E-2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4.6300000000000001E-2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4.7399999999999998E-2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4.5999999999999999E-2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4.3400000000000001E-2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4.0099999999999997E-2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1.2999999999999999E-3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1.1000000000000001E-3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8.9999999999999998E-4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5.9999999999999995E-4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2.0000000000000001E-4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4.0000000000000002E-4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6.9999999999999999E-4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1.2999999999999999E-3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2.5000000000000001E-3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4.8999999999999998E-3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5.4000000000000003E-3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2.8E-3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1.6999999999999999E-3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4.0000000000000002E-4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4.0000000000000002E-4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4.0000000000000002E-4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1E-4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1E-4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56.074300000000001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66.789100000000005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75.3339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57.872100000000003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77.280199999999994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81.996700000000004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106.3197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119.22320000000001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180.07149999999999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218.36099999999999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256.65050000000002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280.28680000000003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303.923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307.60000000000002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311.27690000000001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337.82470000000001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364.37259999999998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5.1974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5.8757000000000001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8.1424000000000003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10.7013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12.329700000000001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14.5992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19.270900000000001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16.119399999999999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12.9879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11.034000000000001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8.8873999999999995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7.1277999999999997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5.3992000000000004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5.4531999999999998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5.5289000000000001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4.7603999999999997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4.0327999999999999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3.9053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5.6275000000000004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8.0626999999999995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11.1937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13.3169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15.6905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20.443000000000001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17.337299999999999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14.0847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11.898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9.5190000000000001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7.6220999999999997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5.7497999999999996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5.0083000000000002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4.2866999999999997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3.9798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3.7094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0.15429999999999999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0.88839999999999997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1.929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3.0284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4.0354000000000001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4.66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5.6516000000000002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6.1786000000000003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6.7295999999999996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7.0726000000000004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7.3878000000000004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7.4101999999999997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7.4154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6.9267000000000003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6.4212999999999996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1.47E-2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2.01E-2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2.07E-2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2.6499999999999999E-2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3.27E-2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4.24E-2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5.0799999999999998E-2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5.74E-2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6.2199999999999998E-2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6.6299999999999998E-2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6.7900000000000002E-2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6.9800000000000001E-2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7.1199999999999999E-2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7.2099999999999997E-2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7.22E-2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7.1400000000000005E-2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6.9599999999999995E-2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8.8999999999999999E-3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1.4E-2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1.5699999999999999E-2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1.8499999999999999E-2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2.1999999999999999E-2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3.3599999999999998E-2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4.8099999999999997E-2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5.5399999999999998E-2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6.7799999999999999E-2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7.4399999999999994E-2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8.1699999999999995E-2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9.2799999999999994E-2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0.1042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0.1145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0.1245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0.13020000000000001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0.13489999999999999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5.0000000000000001E-4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1.1000000000000001E-3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3.8E-3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6.4999999999999997E-3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1.0200000000000001E-2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1.29E-2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1.66E-2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1.9099999999999999E-2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2.0500000000000001E-2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2.23E-2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2.4500000000000001E-2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2.6800000000000001E-2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2.92E-2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3.15E-2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3.3700000000000001E-2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3.5200000000000002E-2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5.9999999999999995E-4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2.7000000000000001E-3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5.1999999999999998E-3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7.7000000000000002E-3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1.0500000000000001E-2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1.24E-2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1.52E-2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1.6299999999999999E-2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1.78E-2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1.6799999999999999E-2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1.5900000000000001E-2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1.43E-2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1.2699999999999999E-2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1.23E-2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1.18E-2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1.4200000000000001E-2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1.6199999999999999E-2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5.4999999999999997E-3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3.5000000000000001E-3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2.5000000000000001E-3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1.5E-3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5.9999999999999995E-4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1.2999999999999999E-3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2.3E-3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2.3E-3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4.0000000000000002E-4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2.0000000000000001E-4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56.074300000000001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37.813200000000002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64.621499999999997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68.475200000000001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74.485100000000003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77.829400000000007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72.715999999999994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117.6114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167.6036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202.4787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237.35380000000001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239.12979999999999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240.9059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254.12360000000001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267.34140000000002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280.18380000000002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293.02620000000002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5.2138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5.6516000000000002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5.8413000000000004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5.9984999999999999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6.0701000000000001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5.1178999999999997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7.1658999999999997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4.7965999999999998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3.7265000000000001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2.6269999999999998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1.5786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1.0301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0.49320000000000003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0.88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1.2555000000000001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0.94099999999999995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0.69040000000000001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3.8022999999999998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5.0404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5.3015999999999996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5.8638000000000003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6.1235999999999997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5.1390000000000002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7.2473999999999998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4.8654999999999999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3.3974000000000002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2.2801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1.2211000000000001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0.55330000000000001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-9.9299999999999999E-2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-0.15129999999999999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-0.2089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-0.3261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-0.37519999999999998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2.9999999999999997E-4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1.4E-3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5.7000000000000002E-3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8.0000000000000002E-3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1.06E-2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1.29E-2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1.6899999999999998E-2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1.95E-2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2.3099999999999999E-2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2.1000000000000001E-2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1.29E-2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4.5999999999999999E-3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2.3999999999999998E-3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1.8200000000000001E-2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1.7500000000000002E-2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1.7100000000000001E-2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2.1000000000000001E-2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2.7699999999999999E-2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3.7100000000000001E-2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4.9500000000000002E-2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6.2600000000000003E-2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7.3200000000000001E-2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8.1900000000000001E-2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9.06E-2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9.69E-2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0.1028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0.10390000000000001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0.1067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0.11070000000000001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0.1129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1.35E-2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1.4E-2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1.43E-2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1.61E-2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1.84E-2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2.2700000000000001E-2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0.03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3.7100000000000001E-2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4.58E-2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5.2299999999999999E-2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5.9299999999999999E-2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7.0400000000000004E-2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8.2500000000000004E-2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9.0399999999999994E-2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0.10979999999999999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0.1191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5.0000000000000001E-4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8.0000000000000004E-4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1.5E-3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2.5999999999999999E-3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3.3999999999999998E-3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4.4000000000000003E-3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6.0000000000000001E-3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8.3000000000000001E-3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1.03E-2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1.23E-2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1.44E-2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1.66E-2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1.9099999999999999E-2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2.1000000000000001E-2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2.3900000000000001E-2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2.7199999999999998E-2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3.0300000000000001E-2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2.9999999999999997E-4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1.5E-3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3.7000000000000002E-3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7.0000000000000001E-3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1.09E-2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1.4800000000000001E-2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1.9199999999999998E-2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2.3300000000000001E-2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2.8000000000000001E-2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5.0299999999999997E-2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6.5600000000000006E-2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7.3300000000000004E-2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7.6700000000000004E-2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7.6899999999999996E-2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7.5200000000000003E-2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7.3200000000000001E-2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7.0099999999999996E-2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2.3E-3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1.6000000000000001E-3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1.2999999999999999E-3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8.0000000000000004E-4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4.0000000000000002E-4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2.0000000000000001E-4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5.0000000000000001E-4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2.2000000000000001E-3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3.7000000000000002E-3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5.1999999999999998E-3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6.4999999999999997E-3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7.4000000000000003E-3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7.7999999999999996E-3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4.4000000000000003E-3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3.8E-3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2.8999999999999998E-3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2.3999999999999998E-3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1.6000000000000001E-3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1.9E-3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2.2000000000000001E-3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56.074300000000001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66.489400000000003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73.537400000000005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82.174300000000002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88.4392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92.795000000000002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104.0561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115.1815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190.7475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215.6173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240.48699999999999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263.26780000000002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286.04849999999999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290.21679999999998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294.38510000000002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304.76510000000002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315.14510000000001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5.3326000000000002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6.2308000000000003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8.2792999999999992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10.9361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14.7128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20.412700000000001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29.6374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29.9038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28.8566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26.636700000000001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23.3201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21.1523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18.820900000000002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16.3794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14.212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12.8269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11.2515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4.0496999999999996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5.9886999999999997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8.2260000000000009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11.3361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15.558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21.2164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30.423500000000001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30.500699999999998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29.296800000000001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26.851500000000001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23.3248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21.040400000000002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18.587599999999998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15.431100000000001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12.555999999999999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11.6341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10.520899999999999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0.433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4.3636999999999997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8.9509000000000007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12.3878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13.5145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13.8932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13.2906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12.8704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13.1699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12.1531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8.4153000000000002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7.0376000000000003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5.5869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4.5951000000000004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3.5565000000000002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1.17E-2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1.5800000000000002E-2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1.7600000000000001E-2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2.1999999999999999E-2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2.81E-2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4.3499999999999997E-2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5.96E-2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7.4899999999999994E-2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8.9399999999999993E-2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0.1023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0.114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0.1191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0.124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0.12429999999999999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0.1241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0.12690000000000001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0.12820000000000001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9.7999999999999997E-3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1.2500000000000001E-2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1.21E-2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1.3599999999999999E-2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1.49E-2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2.64E-2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3.7100000000000001E-2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4.4699999999999997E-2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5.7500000000000002E-2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6.7500000000000004E-2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7.8100000000000003E-2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8.8800000000000004E-2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9.9900000000000003E-2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0.1069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0.11360000000000001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0.12230000000000001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0.1308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4.0000000000000002E-4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8.0000000000000004E-4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1.5E-3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2.5999999999999999E-3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4.3E-3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6.7999999999999996E-3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9.4999999999999998E-3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1.1900000000000001E-2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1.4200000000000001E-2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1.66E-2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1.9400000000000001E-2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2.1700000000000001E-2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2.4199999999999999E-2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2.6499999999999999E-2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2.8799999999999999E-2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3.1899999999999998E-2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3.4700000000000002E-2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2.0000000000000001E-4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1.4E-3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9.7999999999999997E-3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1.7100000000000001E-2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2.1600000000000001E-2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2.69E-2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3.6600000000000001E-2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3.9E-2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4.1099999999999998E-2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4.6399999999999997E-2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5.1299999999999998E-2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5.5599999999999997E-2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5.8299999999999998E-2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5.5800000000000002E-2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5.2900000000000003E-2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1.5E-3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8.9999999999999998E-4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5.0000000000000001E-4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2.9999999999999997E-4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2.9999999999999997E-4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5.0000000000000001E-4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5.0000000000000001E-4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4.0000000000000002E-4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2.9999999999999997E-4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56.074300000000001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52.476599999999998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71.61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76.472700000000003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81.493700000000004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66.628600000000006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103.9486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110.6159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160.82749999999999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184.2037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207.58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216.04769999999999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224.5155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213.85149999999999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203.1876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223.6327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244.0779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5.1786000000000003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6.3760000000000003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7.7450999999999999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8.3782999999999994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8.4124999999999996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5.7637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5.7354000000000003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4.1051000000000002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2.5686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1.4424999999999999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0.14019999999999999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-0.185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-0.57940000000000003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-8.3500000000000005E-2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0.53790000000000004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0.32429999999999998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0.18279999999999999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3.8833000000000002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5.9814999999999996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7.4283999999999999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8.5114000000000001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8.8681999999999999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6.2470999999999997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6.3273999999999999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4.5045000000000002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2.5712000000000002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1.4436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0.14219999999999999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-0.35320000000000001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-0.92030000000000001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-0.93279999999999996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-0.82220000000000004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-0.80630000000000002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-0.72240000000000004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0.1588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1.0395000000000001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2.7839999999999998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5.9071999999999996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9.1821999999999999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10.020200000000001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8.0695999999999994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6.5468999999999999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4.9169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3.4358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1.9665999999999999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1.3117000000000001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0.62139999999999995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0.40389999999999998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0.17280000000000001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1.52E-2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1.6400000000000001E-2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1.6199999999999999E-2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2.1000000000000001E-2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2.7699999999999999E-2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3.8100000000000002E-2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5.0700000000000002E-2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6.5500000000000003E-2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7.7899999999999997E-2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9.0700000000000003E-2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0.1042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0.10970000000000001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0.1143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0.11600000000000001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0.1172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0.1212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0.1236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1.1900000000000001E-2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1.3299999999999999E-2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1.2800000000000001E-2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1.49E-2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1.77E-2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2.2499999999999999E-2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2.8799999999999999E-2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3.6900000000000002E-2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4.9000000000000002E-2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5.9499999999999997E-2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7.1099999999999997E-2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8.1600000000000006E-2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9.2499999999999999E-2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0.1013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0.1106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0.12039999999999999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0.12989999999999999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5.0000000000000001E-4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6.9999999999999999E-4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2.3999999999999998E-3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3.3E-3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4.7999999999999996E-3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7.0000000000000001E-3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9.5999999999999992E-3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1.18E-2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1.44E-2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1.7299999999999999E-2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1.9800000000000002E-2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2.2499999999999999E-2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2.5000000000000001E-2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2.75E-2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3.1099999999999999E-2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3.4599999999999999E-2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2.9999999999999997E-4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1.4E-3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4.1999999999999997E-3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8.6999999999999994E-3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1.3100000000000001E-2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1.9599999999999999E-2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2.7199999999999998E-2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4.36E-2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4.8300000000000003E-2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4.7699999999999999E-2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5.0799999999999998E-2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4.8500000000000001E-2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4.7199999999999999E-2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4.4499999999999998E-2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4.0399999999999998E-2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3.5700000000000003E-2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1.8E-3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6.9999999999999999E-4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4.0000000000000002E-4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2.9999999999999997E-4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4.0000000000000002E-4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6.9999999999999999E-4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1.6000000000000001E-3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2.0999999999999999E-3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1.6999999999999999E-3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5.0000000000000001E-4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4.0000000000000002E-4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4.0000000000000002E-4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4.0000000000000002E-4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4.0000000000000002E-4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2.9999999999999997E-4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2.0000000000000001E-4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2.0000000000000001E-4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1E-4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56.074300000000001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60.649000000000001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73.878900000000002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80.255499999999998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86.509799999999998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85.959199999999996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100.4468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113.90260000000001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180.64189999999999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214.4641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248.28620000000001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276.21679999999998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304.1474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320.47590000000002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336.80439999999999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374.48270000000002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412.16090000000003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5.2207999999999997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6.1036000000000001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7.5362999999999998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9.9734999999999996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12.1983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14.805300000000001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19.590299999999999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16.171099999999999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12.6309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10.266400000000001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7.4730999999999996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5.4748999999999999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3.512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4.0727000000000002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4.6768999999999998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3.6520999999999999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2.6089000000000002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3.9289000000000001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5.6923000000000004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7.2557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10.098000000000001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12.770099999999999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15.4345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20.279199999999999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16.720800000000001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12.8552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10.3514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7.4184000000000001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5.1797000000000004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2.968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2.7223000000000002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2.5211000000000001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2.0562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1.5708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1.9900000000000001E-2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1.77E-2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1.77E-2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2.2800000000000001E-2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3.0300000000000001E-2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3.95E-2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4.99E-2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5.8500000000000003E-2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6.6799999999999998E-2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7.3400000000000007E-2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8.0399999999999999E-2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8.6099999999999996E-2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9.1600000000000001E-2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9.7199999999999995E-2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0.1026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0.1067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0.10929999999999999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1.46E-2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1.47E-2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1.5299999999999999E-2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1.78E-2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2.07E-2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2.5000000000000001E-2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3.1099999999999999E-2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3.56E-2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4.3999999999999997E-2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4.9500000000000002E-2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5.5899999999999998E-2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6.4899999999999999E-2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7.46E-2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8.4599999999999995E-2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9.5100000000000004E-2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0.1038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0.11210000000000001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5.0000000000000001E-4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8.9999999999999998E-4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1.6000000000000001E-3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2.7000000000000001E-3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3.7000000000000002E-3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4.7000000000000002E-3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6.1000000000000004E-3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7.7999999999999996E-3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9.2999999999999992E-3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1.09E-2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1.2699999999999999E-2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1.49E-2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1.7399999999999999E-2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1.9900000000000001E-2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2.2700000000000001E-2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2.58E-2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2.86E-2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2.9999999999999997E-4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1.4E-3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3.5000000000000001E-3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6.4000000000000003E-3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9.7999999999999997E-3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1.32E-2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1.6500000000000001E-2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1.7899999999999999E-2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1.89E-2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1.9699999999999999E-2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2.0299999999999999E-2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2.3800000000000002E-2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2.75E-2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3.6900000000000002E-2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4.6300000000000001E-2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6.5500000000000003E-2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8.3000000000000004E-2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3.2000000000000002E-3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2.3E-3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1.5E-3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1.1000000000000001E-3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8.0000000000000004E-4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5.9999999999999995E-4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2.9999999999999997E-4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2.0000000000000001E-4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2.9999999999999997E-4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5.0000000000000001E-4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6.9999999999999999E-4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1.5E-3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3.0000000000000001E-3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5.5999999999999999E-3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8.8000000000000005E-3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1.2500000000000001E-2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1.6500000000000001E-2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1.9599999999999999E-2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2.1999999999999999E-2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2.2200000000000001E-2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2.1899999999999999E-2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1.9800000000000002E-2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1.67E-2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1.5100000000000001E-2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1.2800000000000001E-2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1.21E-2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1.0999999999999999E-2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56.074300000000001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66.884100000000004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75.320400000000006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85.147800000000004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95.216099999999997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99.302999999999997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106.97150000000001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112.62179999999999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179.47210000000001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192.53360000000001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205.5951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217.46449999999999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229.3338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245.40020000000001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261.46660000000003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289.1574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316.84820000000002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5.3169000000000004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6.0118999999999998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7.8701999999999996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10.5724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14.8131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22.404499999999999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37.821199999999997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44.547199999999997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54.182200000000002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58.083799999999997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61.767099999999999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63.701999999999998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65.685299999999998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64.157399999999996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62.298200000000001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54.514699999999998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46.780900000000003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4.0486000000000004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5.7055999999999996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7.7789000000000001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11.059799999999999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15.8653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23.5349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39.046500000000002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45.590699999999998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55.0578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58.903300000000002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62.533000000000001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64.406700000000001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66.328699999999998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64.065899999999999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61.4754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54.155700000000003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46.887900000000002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1.8E-3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0.38290000000000002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2.1551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3.9948000000000001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3.8757000000000001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3.9655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4.4454000000000002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5.0134999999999996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5.0621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5.1223999999999998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4.3262999999999998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3.4796999999999998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2.7479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1.8998999999999999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1.1599999999999999E-2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1.5900000000000001E-2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1.7000000000000001E-2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2.52E-2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3.9800000000000002E-2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5.7500000000000002E-2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7.5399999999999995E-2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9.2100000000000001E-2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0.107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0.1212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0.12330000000000001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0.12520000000000001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0.12470000000000001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0.124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0.1258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0.12570000000000001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9.7999999999999997E-3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1.0699999999999999E-2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1.26E-2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1.24E-2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1.4E-2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2.0799999999999999E-2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3.5499999999999997E-2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4.4999999999999998E-2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5.9299999999999999E-2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7.0599999999999996E-2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8.2500000000000004E-2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9.11E-2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9.98E-2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0.1075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0.1153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0.1225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0.1293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4.0000000000000002E-4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5.9999999999999995E-4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1.2999999999999999E-3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1.9E-3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3.3E-3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6.1000000000000004E-3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8.8000000000000005E-3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1.15E-2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1.3899999999999999E-2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1.66E-2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1.9599999999999999E-2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2.1600000000000001E-2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2.3800000000000002E-2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2.5700000000000001E-2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2.7799999999999998E-2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3.0800000000000001E-2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3.3399999999999999E-2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2.0000000000000001E-4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1.2999999999999999E-3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3.5000000000000001E-3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6.3E-3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1.2200000000000001E-2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1.9E-2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2.7799999999999998E-2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4.0500000000000001E-2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4.1200000000000001E-2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0.04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4.3999999999999997E-2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4.8099999999999997E-2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5.0599999999999999E-2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5.33E-2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5.1799999999999999E-2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0.05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1.5E-3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8.9999999999999998E-4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6.9999999999999999E-4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4.0000000000000002E-4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5.0000000000000001E-4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2.9999999999999997E-4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5.0000000000000001E-4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8.9999999999999998E-4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1.2999999999999999E-3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2.2000000000000001E-3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1.6999999999999999E-3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8.0000000000000004E-4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56.074300000000001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66.884100000000004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75.320400000000006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63.392200000000003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84.911699999999996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96.662400000000005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91.210599999999999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141.785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197.59800000000001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251.3169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305.03590000000003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368.2706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431.50540000000001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440.16879999999998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448.8322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468.8254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488.81869999999998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5.2584999999999997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6.3273999999999999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9.0860000000000003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11.3764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12.289199999999999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11.4117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8.9859000000000009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4.8567999999999998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0.62460000000000004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-2.1776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-5.3788999999999998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-5.9223999999999997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-6.5335000000000001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-4.8648999999999996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-3.1638999999999999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-2.5133999999999999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-1.7605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3.9563999999999999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5.8813000000000004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8.7372999999999994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11.5579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12.980700000000001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12.166600000000001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9.8596000000000004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5.6021999999999998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1.1240000000000001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-1.8010999999999999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-5.1249000000000002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-5.8524000000000003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-6.6501000000000001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-5.7564000000000002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-4.8304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-3.6594000000000002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-2.3889999999999998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2.5999999999999999E-3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2.8299999999999999E-2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0.1086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0.32040000000000002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2.5811999999999999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3.1558999999999999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2.6246999999999998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2.1518000000000002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1.9902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1.8247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1.4410000000000001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1.0206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0.66549999999999998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0.27879999999999999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1.38E-2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1.4500000000000001E-2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1.5900000000000001E-2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2.0899999999999998E-2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2.6700000000000002E-2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4.1000000000000002E-2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5.4399999999999997E-2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6.6799999999999998E-2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8.0500000000000002E-2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9.3399999999999997E-2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0.10680000000000001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0.112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0.1166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0.1163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0.1154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0.1197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0.1217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1.1299999999999999E-2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1.24E-2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1.3100000000000001E-2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1.54E-2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1.5699999999999999E-2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2.2700000000000001E-2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3.2300000000000002E-2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3.8699999999999998E-2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5.0299999999999997E-2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6.0999999999999999E-2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7.2700000000000001E-2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8.2900000000000001E-2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9.35E-2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0.10050000000000001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0.1077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0.1177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0.1273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4.0000000000000002E-4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6.9999999999999999E-4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1.2999999999999999E-3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2.3999999999999998E-3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3.5999999999999999E-3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5.7000000000000002E-3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8.2000000000000007E-3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1.0200000000000001E-2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1.26E-2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1.49E-2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1.7399999999999999E-2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1.9599999999999999E-2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2.1999999999999999E-2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2.4E-2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2.6100000000000002E-2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2.9600000000000001E-2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3.2800000000000003E-2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2.0000000000000001E-4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1.2999999999999999E-3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3.5000000000000001E-3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6.6E-3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1.1299999999999999E-2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1.6799999999999999E-2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2.52E-2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3.1800000000000002E-2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4.36E-2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4.3900000000000002E-2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4.1000000000000002E-2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4.3499999999999997E-2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4.4600000000000001E-2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4.6600000000000003E-2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4.7E-2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4.6899999999999997E-2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4.6699999999999998E-2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1.8E-3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1.2999999999999999E-3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1.1000000000000001E-3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8.0000000000000004E-4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5.9999999999999995E-4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2.0000000000000001E-4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4.0000000000000002E-4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6.9999999999999999E-4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1.2999999999999999E-3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2.5000000000000001E-3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4.7000000000000002E-3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6.1999999999999998E-3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4.1000000000000003E-3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5.0000000000000001E-4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5.0000000000000001E-4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5.0000000000000001E-4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4.0000000000000002E-4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4.0000000000000002E-4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2.9999999999999997E-4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56.074300000000001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66.884100000000004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75.320400000000006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68.308999999999997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88.016000000000005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94.2393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107.8642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125.0938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195.44040000000001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243.73310000000001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292.0258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312.41500000000002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332.80410000000001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331.2672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329.7303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341.49430000000001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353.25819999999999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5.2602000000000002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6.1235999999999997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8.3556000000000008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11.627700000000001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13.862299999999999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18.017199999999999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23.903600000000001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19.0763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12.8108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10.380599999999999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7.7962999999999996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6.9824999999999999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6.1811999999999996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5.8884999999999996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5.6382000000000003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5.3231999999999999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5.0410000000000004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3.9575999999999998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5.7817999999999996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8.2178000000000004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12.017899999999999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14.705399999999999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18.816199999999998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24.704000000000001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19.7927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13.4018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10.708500000000001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7.8639999999999999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7.0627000000000004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6.2782999999999998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5.2371999999999996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4.2426000000000004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4.3635000000000002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4.5128000000000004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0.1411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0.75880000000000003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1.7644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2.8081999999999998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3.8772000000000002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4.7088000000000001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5.9386999999999999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6.3654000000000002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6.8373999999999997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7.1012000000000004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7.3345000000000002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7.2131999999999996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7.0824999999999996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6.5712000000000002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6.0461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1.46E-2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1.9800000000000002E-2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2.5499999999999998E-2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3.1300000000000001E-2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4.2900000000000001E-2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5.1299999999999998E-2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5.9200000000000003E-2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6.5199999999999994E-2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6.9500000000000006E-2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7.1099999999999997E-2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7.2800000000000004E-2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7.4099999999999999E-2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7.4300000000000005E-2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7.3800000000000004E-2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7.3499999999999996E-2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7.1999999999999995E-2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8.8999999999999999E-3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1.4E-2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1.52E-2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1.7999999999999999E-2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2.1000000000000001E-2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3.4000000000000002E-2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5.0099999999999999E-2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5.79E-2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7.1499999999999994E-2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7.8399999999999997E-2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8.5699999999999998E-2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9.69E-2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0.10829999999999999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0.1176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0.12659999999999999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0.1326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0.1376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5.0000000000000001E-4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1.1000000000000001E-3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1.9E-3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3.5999999999999999E-3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6.1999999999999998E-3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1.03E-2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1.2999999999999999E-2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1.72E-2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2.1499999999999998E-2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2.3300000000000001E-2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2.5600000000000001E-2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2.7900000000000001E-2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0.03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3.2199999999999999E-2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3.44E-2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3.5999999999999997E-2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5.9999999999999995E-4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2.8E-3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5.0000000000000001E-3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7.4999999999999997E-3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1.0800000000000001E-2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1.2800000000000001E-2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1.5699999999999999E-2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1.6400000000000001E-2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1.7500000000000002E-2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1.66E-2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1.5699999999999999E-2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1.44E-2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1.2999999999999999E-2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1.34E-2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1.38E-2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1.5599999999999999E-2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1.6899999999999998E-2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3.5000000000000001E-3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2.3E-3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1.2999999999999999E-3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5.9999999999999995E-4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1.2999999999999999E-3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2.2000000000000001E-3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2.2000000000000001E-3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8.9999999999999998E-4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4.0000000000000002E-4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56.074300000000001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39.263199999999998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63.306199999999997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67.586399999999998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73.757099999999994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82.042599999999993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68.523399999999995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117.85469999999999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173.1233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205.43119999999999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237.739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240.6063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243.4736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253.97730000000001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264.48110000000003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291.053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317.62490000000003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5.2278000000000002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5.6779999999999999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5.8305999999999996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6.0791000000000004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6.3967000000000001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5.1651999999999996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7.0945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4.0671999999999997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2.8471000000000002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1.8125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0.82110000000000005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0.2898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-0.223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0.2802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0.77100000000000002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-7.3099999999999998E-2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-0.85389999999999999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3.8149000000000002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5.0824999999999996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5.2302999999999997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5.8611000000000004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6.3613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5.0648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7.0242000000000004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3.9373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2.4876999999999998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1.4519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0.46639999999999998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-0.16339999999999999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-0.77100000000000002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-0.72799999999999998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-0.69089999999999996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-1.3613999999999999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-1.9638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2.9999999999999997E-4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1.5E-3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5.3E-3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7.1000000000000004E-3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9.1000000000000004E-3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1.4800000000000001E-2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1.77E-2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2.3199999999999998E-2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1.89E-2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1.14E-2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3.5000000000000001E-3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1.9E-3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1.83E-2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1.7500000000000002E-2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1.7000000000000001E-2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2.0899999999999998E-2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2.76E-2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3.6999999999999998E-2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4.9200000000000001E-2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6.2399999999999997E-2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7.3099999999999998E-2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8.1900000000000001E-2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9.1499999999999998E-2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9.8199999999999996E-2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0.10440000000000001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0.1057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0.1086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0.11269999999999999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0.1149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1.3599999999999999E-2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1.4E-2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1.4200000000000001E-2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1.6E-2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1.84E-2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2.2599999999999999E-2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2.98E-2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3.6900000000000002E-2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4.5600000000000002E-2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5.2200000000000003E-2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5.9900000000000002E-2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7.1400000000000005E-2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8.4000000000000005E-2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9.2200000000000004E-2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0.1021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0.12130000000000001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5.0000000000000001E-4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8.0000000000000004E-4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1.5E-3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2.5999999999999999E-3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3.3999999999999998E-3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4.4000000000000003E-3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6.0000000000000001E-3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8.3000000000000001E-3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1.04E-2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1.24E-2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1.46E-2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1.6899999999999998E-2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1.9400000000000001E-2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2.1399999999999999E-2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2.4400000000000002E-2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2.7799999999999998E-2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3.0800000000000001E-2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2.9999999999999997E-4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1.4E-3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3.7000000000000002E-3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6.7999999999999996E-3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1.0800000000000001E-2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1.49E-2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1.95E-2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2.35E-2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2.86E-2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5.1799999999999999E-2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6.7699999999999996E-2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7.5200000000000003E-2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7.8299999999999995E-2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7.8700000000000006E-2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7.7499999999999999E-2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7.5600000000000001E-2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7.2499999999999995E-2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2.3E-3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1.6000000000000001E-3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1.2999999999999999E-3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8.0000000000000004E-4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4.0000000000000002E-4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2.0000000000000001E-4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5.0000000000000001E-4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2.0999999999999999E-3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3.7000000000000002E-3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5.1999999999999998E-3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6.6E-3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7.6E-3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8.0000000000000002E-3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4.5999999999999999E-3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4.0000000000000001E-3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2.5000000000000001E-3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1.6999999999999999E-3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2E-3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2.3999999999999998E-3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2.3999999999999998E-3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2.3E-3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56.074300000000001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66.456999999999994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73.587800000000001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82.295199999999994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88.932000000000002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93.867999999999995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105.5309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117.26390000000001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191.72980000000001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217.93270000000001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244.13560000000001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268.44479999999999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292.75409999999999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293.14229999999998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293.53039999999999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305.46339999999998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317.39640000000003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5.3747999999999996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6.3476999999999997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8.375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11.008900000000001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14.791600000000001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20.488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29.6492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29.973400000000002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28.973700000000001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26.838000000000001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23.745000000000001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21.6557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19.380400000000002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17.0151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14.957000000000001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13.5318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11.8926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4.0938999999999997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6.0305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8.2682000000000002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11.3865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15.6312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21.2912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30.4377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30.573399999999999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29.4161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27.051300000000001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23.7376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21.523399999999999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19.119199999999999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16.043099999999999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13.2799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12.3096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11.126200000000001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0.46650000000000003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4.5663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9.1341999999999999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12.555199999999999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14.098100000000001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14.1111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13.234299999999999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11.928800000000001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11.2357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10.4186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8.1491000000000007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6.8042999999999996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5.3604000000000003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4.4377000000000004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3.4527999999999999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1.15E-2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1.52E-2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1.6899999999999998E-2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2.1399999999999999E-2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3.0200000000000001E-2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4.9799999999999997E-2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6.7699999999999996E-2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8.5000000000000006E-2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9.9099999999999994E-2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0.1128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0.12570000000000001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0.12970000000000001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0.13320000000000001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0.13170000000000001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0.1295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0.1295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0.12859999999999999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9.4999999999999998E-3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1.1900000000000001E-2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1.14E-2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1.2999999999999999E-2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1.6E-2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2.98E-2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4.2000000000000003E-2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4.9099999999999998E-2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6.0400000000000002E-2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7.1400000000000005E-2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8.2799999999999999E-2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9.2999999999999999E-2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0.10340000000000001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0.1087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0.11360000000000001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0.11990000000000001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4.0000000000000002E-4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8.0000000000000004E-4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2.5999999999999999E-3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4.7000000000000002E-3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7.9000000000000008E-3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1.38E-2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1.6199999999999999E-2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1.9E-2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2.1899999999999999E-2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2.4E-2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2.63E-2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2.8299999999999999E-2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3.0200000000000001E-2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3.27E-2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3.5000000000000003E-2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2.0000000000000001E-4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1.5E-3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5.4999999999999997E-3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1.83E-2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2.41E-2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3.0200000000000001E-2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3.5400000000000001E-2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4.3099999999999999E-2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4.48E-2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4.5999999999999999E-2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5.11E-2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5.5899999999999998E-2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5.9400000000000001E-2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6.1699999999999998E-2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6.0100000000000001E-2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5.8099999999999999E-2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1.5E-3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1.1000000000000001E-3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6.9999999999999999E-4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4.0000000000000002E-4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2.9999999999999997E-4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2.9999999999999997E-4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5.9999999999999995E-4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6.9999999999999999E-4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4.0000000000000002E-4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56.074300000000001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51.480400000000003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71.456400000000002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75.796999999999997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82.054299999999998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67.243399999999994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106.5364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112.666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160.77199999999999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185.2225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209.6729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216.0256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222.3783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215.2764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208.17449999999999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223.83690000000001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239.4992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5.3259999999999996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6.6736000000000004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7.9633000000000003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8.5002999999999993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8.0855999999999995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4.7885999999999997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4.2206999999999999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2.3462999999999998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1.379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0.31319999999999998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-0.8821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-0.6966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-0.51349999999999996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0.35410000000000003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1.3567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1.0617000000000001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0.88190000000000002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4.01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6.2431000000000001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7.6032999999999999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8.6074999999999999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8.516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5.2512999999999996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4.8033999999999999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2.7410999999999999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1.3304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0.25019999999999998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-0.95660000000000001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-0.95499999999999996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-0.95679999999999998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-0.59830000000000005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-0.105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-0.15590000000000001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-9.1800000000000007E-2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1.23E-2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0.19409999999999999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1.4206000000000001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4.2229999999999999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7.92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1.44E-2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1.5599999999999999E-2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1.5699999999999999E-2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1.9E-2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2.7199999999999998E-2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3.78E-2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5.0599999999999999E-2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1.15E-2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1.2800000000000001E-2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1.2699999999999999E-2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1.3899999999999999E-2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1.7399999999999999E-2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2.1999999999999999E-2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2.8500000000000001E-2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4.0000000000000002E-4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6.9999999999999999E-4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1.4E-3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2.3E-3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3.3E-3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4.7000000000000002E-3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7.1000000000000004E-3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2.9999999999999997E-4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1.4E-3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4.1000000000000003E-3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8.2000000000000007E-3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1.38E-2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2.0400000000000001E-2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2.87E-2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1.8E-3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1.1000000000000001E-3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6.9999999999999999E-4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4.0000000000000002E-4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2.9999999999999997E-4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4.0000000000000002E-4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5.9999999999999995E-4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8.9999999999999998E-4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1.5E-3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1.6999999999999999E-3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5.0000000000000001E-4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56.074300000000001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62.581600000000002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74.3279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82.825199999999995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84.414199999999994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86.623000000000005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99.987899999999996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5.2187000000000001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6.0673000000000004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7.7332000000000001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10.2052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12.9323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15.386900000000001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19.218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3.9224999999999999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5.7369000000000003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7.4983000000000004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10.343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13.509499999999999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16.003900000000002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19.9085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1.8800000000000001E-2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1.6899999999999998E-2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1.7000000000000001E-2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2.1499999999999998E-2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2.8799999999999999E-2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3.7999999999999999E-2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4.8300000000000003E-2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1.4500000000000001E-2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1.46E-2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1.52E-2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1.72E-2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0.02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2.4400000000000002E-2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3.0300000000000001E-2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5.9999999999999995E-4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8.9999999999999998E-4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1.6000000000000001E-3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2.5999999999999999E-3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3.5000000000000001E-3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4.4999999999999997E-3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5.8999999999999999E-3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2.9999999999999997E-4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1.4E-3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3.5000000000000001E-3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6.3E-3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9.5999999999999992E-3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1.6400000000000001E-2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2.8999999999999998E-3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2.3E-3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1.5E-3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1.1000000000000001E-3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8.0000000000000004E-4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6.9999999999999999E-4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1.5E-3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3.0000000000000001E-3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5.4999999999999997E-3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8.8000000000000005E-3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1.24E-2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1.6299999999999999E-2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56.074300000000001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66.806200000000004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75.367199999999997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85.284700000000001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95.407700000000006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99.638800000000003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107.45480000000001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5.2976000000000001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5.9325999999999999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7.8491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10.4323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14.5197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22.111599999999999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37.384799999999998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4.0217999999999998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5.7085999999999997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7.8087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10.9528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15.5975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23.262699999999999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38.6282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1.6999999999999999E-3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0.3503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1.9910000000000001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3.5911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1.89E-2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1.6799999999999999E-2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1.6400000000000001E-2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1.7299999999999999E-2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2.5000000000000001E-2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3.8199999999999998E-2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5.5100000000000003E-2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1.46E-2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1.46E-2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1.5100000000000001E-2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1.26E-2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1.38E-2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3.4299999999999997E-2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8.0000000000000004E-4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1.5E-3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1.9E-3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3.2000000000000002E-3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5.7999999999999996E-3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8.3999999999999995E-3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2.9999999999999997E-4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1.4E-3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3.3999999999999998E-3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5.8999999999999999E-3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1.18E-2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1.8599999999999998E-2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2.7E-2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2.5999999999999999E-3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2.2000000000000001E-3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2.9999999999999997E-4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4.0000000000000002E-4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2.9999999999999997E-4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5.9999999999999995E-4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1.1999999999999999E-3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2.5000000000000001E-3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1.1000000000000001E-3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1.8E-3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1.4E-3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6.9999999999999999E-4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56.074300000000001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66.806200000000004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75.367199999999997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64.645899999999997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85.346699999999998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96.370800000000003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89.283500000000004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5.2502000000000004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5.9260999999999999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7.8449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9.6651000000000007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10.9977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10.7666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8.9923999999999999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3.9811000000000001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5.6166999999999998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7.6273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9.8829999999999991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11.650600000000001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11.538500000000001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9.8910999999999998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2.3999999999999998E-3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2.29E-2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9.0399999999999994E-2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0.2868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1.26E-2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1.38E-2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1.6400000000000001E-2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2.1600000000000001E-2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2.29E-2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3.6600000000000001E-2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5.0700000000000002E-2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1.06E-2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1.2E-2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1.35E-2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1.5699999999999999E-2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1.4800000000000001E-2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2.0199999999999999E-2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3.1199999999999999E-2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4.0000000000000002E-4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6.9999999999999999E-4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1.2999999999999999E-3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2.3E-3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2.8999999999999998E-3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4.8999999999999998E-3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7.6E-3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2.0000000000000001E-4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1.2999999999999999E-3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3.3999999999999998E-3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6.4999999999999997E-3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1.0699999999999999E-2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1.67E-2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2.4899999999999999E-2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1.1999999999999999E-3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8.9999999999999998E-4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6.9999999999999999E-4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5.9999999999999995E-4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5.0000000000000001E-4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4.0000000000000002E-4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2.0000000000000001E-4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2.9999999999999997E-4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5.0000000000000001E-4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8.9999999999999998E-4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3.0000000000000001E-3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4.7000000000000002E-3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3.7000000000000002E-3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56.074300000000001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66.806200000000004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75.367199999999997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76.911900000000003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91.798599999999993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100.4537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110.92140000000001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5.1589999999999998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5.8304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8.0257000000000005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11.3338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13.3591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17.626200000000001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23.580200000000001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3.8580000000000001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5.5827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7.9599000000000002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11.7379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14.2393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18.415500000000002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24.401700000000002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0.1237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0.64229999999999998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1.8492999999999999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3.3016999999999999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4.6353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1.5800000000000002E-2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2.1299999999999999E-2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2.18E-2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2.9499999999999998E-2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3.8300000000000001E-2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5.2400000000000002E-2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6.1499999999999999E-2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8.9999999999999993E-3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1.3899999999999999E-2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1.5699999999999999E-2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2.01E-2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2.5899999999999999E-2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4.2099999999999999E-2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6.13E-2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5.0000000000000001E-4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1.1000000000000001E-3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2.0999999999999999E-3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4.1999999999999997E-3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7.6E-3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1.24E-2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1.52E-2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5.9999999999999995E-4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2.8999999999999998E-3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5.1999999999999998E-3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8.0000000000000002E-3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1.14E-2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1.38E-2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1.7100000000000001E-2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4.4000000000000003E-3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2.8E-3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1.8E-3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8.9999999999999998E-4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1.6999999999999999E-3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2.5999999999999999E-3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2.8E-3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1.1999999999999999E-3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56.074300000000001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41.548699999999997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63.544600000000003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67.599800000000002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73.950199999999995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82.454599999999999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66.415899999999993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5.4142999999999999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5.9904999999999999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6.1891999999999996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6.6063000000000001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6.649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5.1547000000000001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6.6928999999999998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3.9258999999999999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5.2877999999999998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5.4389000000000003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6.2234999999999996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6.4459999999999997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4.8944999999999999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6.4728000000000003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2.9999999999999997E-4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1.6000000000000001E-3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4.7000000000000002E-3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6.3E-3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1.84E-2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1.7500000000000002E-2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1.7000000000000001E-2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2.0899999999999998E-2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2.76E-2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3.6900000000000002E-2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4.9200000000000001E-2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1.3599999999999999E-2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1.4E-2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1.4200000000000001E-2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1.6E-2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1.84E-2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2.2599999999999999E-2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2.98E-2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5.0000000000000001E-4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8.0000000000000004E-4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1.5E-3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2.5000000000000001E-3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3.3999999999999998E-3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4.4000000000000003E-3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6.0000000000000001E-3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2.9999999999999997E-4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1.4E-3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3.5999999999999999E-3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6.7999999999999996E-3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1.0800000000000001E-2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1.49E-2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1.9599999999999999E-2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2.3E-3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1.6000000000000001E-3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1.2999999999999999E-3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8.0000000000000004E-4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4.0000000000000002E-4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5.0000000000000001E-4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2.0999999999999999E-3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3.7000000000000002E-3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5.3E-3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6.7000000000000002E-3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7.7000000000000002E-3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56.074300000000001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66.464399999999998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73.6541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82.4268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89.165599999999998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94.302000000000007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106.1185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5.3887999999999998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6.3193000000000001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8.3569999999999993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10.998100000000001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14.772399999999999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20.495999999999999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29.558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4.1086999999999998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6.0430999999999999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8.2608999999999995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11.3765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15.607900000000001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21.2912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30.3306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0.4582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4.5811999999999999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9.2113999999999994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12.5099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14.2013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1.15E-2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1.52E-2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1.67E-2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2.1399999999999999E-2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3.0499999999999999E-2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5.0700000000000002E-2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6.8699999999999997E-2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9.4999999999999998E-3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1.1900000000000001E-2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1.1299999999999999E-2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1.29E-2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1.6199999999999999E-2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3.04E-2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4.2700000000000002E-2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4.0000000000000002E-4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8.0000000000000004E-4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2.5999999999999999E-3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4.7000000000000002E-3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8.0000000000000002E-3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1.1299999999999999E-2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2.0000000000000001E-4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1.5E-3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5.4000000000000003E-3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1.8599999999999998E-2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2.46E-2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3.0599999999999999E-2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1.5E-3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1.1000000000000001E-3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6.9999999999999999E-4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4.0000000000000002E-4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2.9999999999999997E-4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2.9999999999999997E-4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5.9999999999999995E-4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6.9999999999999999E-4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4.0000000000000002E-4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56.074300000000001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53.4358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72.004999999999995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75.687899999999999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82.591700000000003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68.068100000000001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107.6135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5.3259999999999996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6.7351000000000001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8.0251999999999999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8.5827000000000009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8.0025999999999993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4.4306000000000001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3.6435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4.0103999999999997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6.2576999999999998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7.6403999999999996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8.6648999999999994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8.4344999999999999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4.915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4.2478999999999996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2025-09-25T07:50:59Z</dcterms:modified>
</cp:coreProperties>
</file>